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a34ae8a549094cf/Bureaublad/McGowan/ASSEMBLER/"/>
    </mc:Choice>
  </mc:AlternateContent>
  <xr:revisionPtr revIDLastSave="1076" documentId="11_379C8116BA05417D611FC17BFD8F40F26296E57A" xr6:coauthVersionLast="47" xr6:coauthVersionMax="47" xr10:uidLastSave="{FB5C64AC-25AC-4445-B276-B739C071FBC4}"/>
  <bookViews>
    <workbookView xWindow="-110" yWindow="-110" windowWidth="25820" windowHeight="15500" xr2:uid="{00000000-000D-0000-FFFF-FFFF00000000}"/>
  </bookViews>
  <sheets>
    <sheet name="Assembler" sheetId="1" r:id="rId1"/>
    <sheet name="Sheet1" sheetId="2" r:id="rId2"/>
    <sheet name="Sheet2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" l="1"/>
  <c r="W3" i="1" s="1"/>
  <c r="N12" i="1" l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3" i="1"/>
  <c r="N4" i="1"/>
  <c r="N5" i="1"/>
  <c r="N6" i="1"/>
  <c r="N7" i="1"/>
  <c r="N8" i="1"/>
  <c r="N9" i="1"/>
  <c r="N10" i="1"/>
  <c r="N11" i="1"/>
  <c r="N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" i="1"/>
  <c r="V31" i="1" l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K7" i="1" l="1"/>
  <c r="L7" i="1" s="1"/>
  <c r="K8" i="1"/>
  <c r="L8" i="1" s="1"/>
  <c r="K12" i="1"/>
  <c r="L12" i="1" s="1"/>
  <c r="K15" i="1"/>
  <c r="L15" i="1" s="1"/>
  <c r="K20" i="1"/>
  <c r="L20" i="1" s="1"/>
  <c r="K21" i="1"/>
  <c r="L21" i="1" s="1"/>
  <c r="K23" i="1"/>
  <c r="L23" i="1" s="1"/>
  <c r="K24" i="1"/>
  <c r="L24" i="1" s="1"/>
  <c r="K25" i="1"/>
  <c r="L25" i="1" s="1"/>
  <c r="M25" i="1" s="1"/>
  <c r="K29" i="1"/>
  <c r="L29" i="1" s="1"/>
  <c r="K30" i="1"/>
  <c r="L30" i="1" s="1"/>
  <c r="K32" i="1"/>
  <c r="L32" i="1" s="1"/>
  <c r="K33" i="1"/>
  <c r="L33" i="1" s="1"/>
  <c r="K34" i="1"/>
  <c r="L34" i="1" s="1"/>
  <c r="M34" i="1" s="1"/>
  <c r="K36" i="1"/>
  <c r="L36" i="1" s="1"/>
  <c r="K37" i="1"/>
  <c r="L37" i="1" s="1"/>
  <c r="M37" i="1" s="1"/>
  <c r="K41" i="1"/>
  <c r="L41" i="1" s="1"/>
  <c r="K44" i="1"/>
  <c r="L44" i="1" s="1"/>
  <c r="K45" i="1"/>
  <c r="L45" i="1" s="1"/>
  <c r="K46" i="1"/>
  <c r="L46" i="1" s="1"/>
  <c r="M46" i="1" s="1"/>
  <c r="K48" i="1"/>
  <c r="L48" i="1" s="1"/>
  <c r="K49" i="1"/>
  <c r="L49" i="1" s="1"/>
  <c r="M49" i="1" s="1"/>
  <c r="K52" i="1"/>
  <c r="L52" i="1" s="1"/>
  <c r="M52" i="1" s="1"/>
  <c r="K53" i="1"/>
  <c r="L53" i="1" s="1"/>
  <c r="K60" i="1"/>
  <c r="L60" i="1" s="1"/>
  <c r="K61" i="1"/>
  <c r="L61" i="1" s="1"/>
  <c r="M61" i="1" s="1"/>
  <c r="K62" i="1"/>
  <c r="L62" i="1" s="1"/>
  <c r="K64" i="1"/>
  <c r="L64" i="1" s="1"/>
  <c r="M64" i="1" s="1"/>
  <c r="K65" i="1"/>
  <c r="L65" i="1" s="1"/>
  <c r="K68" i="1"/>
  <c r="L68" i="1" s="1"/>
  <c r="K69" i="1"/>
  <c r="L69" i="1" s="1"/>
  <c r="K73" i="1"/>
  <c r="L73" i="1" s="1"/>
  <c r="M73" i="1" s="1"/>
  <c r="K76" i="1"/>
  <c r="L76" i="1" s="1"/>
  <c r="M76" i="1" s="1"/>
  <c r="K77" i="1"/>
  <c r="L77" i="1" s="1"/>
  <c r="K78" i="1"/>
  <c r="L78" i="1" s="1"/>
  <c r="K80" i="1"/>
  <c r="L80" i="1" s="1"/>
  <c r="K81" i="1"/>
  <c r="L81" i="1" s="1"/>
  <c r="K84" i="1"/>
  <c r="L84" i="1" s="1"/>
  <c r="K85" i="1"/>
  <c r="L85" i="1" s="1"/>
  <c r="M85" i="1" s="1"/>
  <c r="K88" i="1"/>
  <c r="L88" i="1" s="1"/>
  <c r="M88" i="1" s="1"/>
  <c r="K89" i="1"/>
  <c r="L89" i="1" s="1"/>
  <c r="K92" i="1"/>
  <c r="L92" i="1" s="1"/>
  <c r="K93" i="1"/>
  <c r="L93" i="1" s="1"/>
  <c r="K96" i="1"/>
  <c r="L96" i="1" s="1"/>
  <c r="K97" i="1"/>
  <c r="L97" i="1" s="1"/>
  <c r="M97" i="1" s="1"/>
  <c r="K101" i="1"/>
  <c r="L101" i="1" s="1"/>
  <c r="K104" i="1"/>
  <c r="L104" i="1" s="1"/>
  <c r="K105" i="1"/>
  <c r="L105" i="1" s="1"/>
  <c r="K108" i="1"/>
  <c r="L108" i="1" s="1"/>
  <c r="K109" i="1"/>
  <c r="L109" i="1" s="1"/>
  <c r="M109" i="1" s="1"/>
  <c r="K110" i="1"/>
  <c r="L110" i="1" s="1"/>
  <c r="K112" i="1"/>
  <c r="L112" i="1" s="1"/>
  <c r="M112" i="1" s="1"/>
  <c r="K113" i="1"/>
  <c r="L113" i="1" s="1"/>
  <c r="K116" i="1"/>
  <c r="L116" i="1" s="1"/>
  <c r="K117" i="1"/>
  <c r="L117" i="1" s="1"/>
  <c r="K120" i="1"/>
  <c r="L120" i="1" s="1"/>
  <c r="K121" i="1"/>
  <c r="L121" i="1" s="1"/>
  <c r="M121" i="1" s="1"/>
  <c r="K124" i="1"/>
  <c r="L124" i="1" s="1"/>
  <c r="M124" i="1" s="1"/>
  <c r="K125" i="1"/>
  <c r="L125" i="1" s="1"/>
  <c r="M125" i="1" s="1"/>
  <c r="K126" i="1"/>
  <c r="L126" i="1" s="1"/>
  <c r="M126" i="1" s="1"/>
  <c r="K128" i="1"/>
  <c r="L128" i="1" s="1"/>
  <c r="M128" i="1" s="1"/>
  <c r="K129" i="1"/>
  <c r="L129" i="1" s="1"/>
  <c r="M129" i="1" s="1"/>
  <c r="K132" i="1"/>
  <c r="L132" i="1" s="1"/>
  <c r="M132" i="1" s="1"/>
  <c r="K133" i="1"/>
  <c r="L133" i="1" s="1"/>
  <c r="M133" i="1" s="1"/>
  <c r="K136" i="1"/>
  <c r="L136" i="1" s="1"/>
  <c r="M136" i="1" s="1"/>
  <c r="K137" i="1"/>
  <c r="L137" i="1" s="1"/>
  <c r="M137" i="1" s="1"/>
  <c r="K140" i="1"/>
  <c r="L140" i="1" s="1"/>
  <c r="M140" i="1" s="1"/>
  <c r="K141" i="1"/>
  <c r="L141" i="1" s="1"/>
  <c r="M141" i="1" s="1"/>
  <c r="K142" i="1"/>
  <c r="L142" i="1" s="1"/>
  <c r="M142" i="1" s="1"/>
  <c r="K144" i="1"/>
  <c r="L144" i="1" s="1"/>
  <c r="M144" i="1" s="1"/>
  <c r="K145" i="1"/>
  <c r="L145" i="1" s="1"/>
  <c r="M145" i="1" s="1"/>
  <c r="K148" i="1"/>
  <c r="L148" i="1" s="1"/>
  <c r="M148" i="1" s="1"/>
  <c r="K152" i="1"/>
  <c r="L152" i="1" s="1"/>
  <c r="M152" i="1" s="1"/>
  <c r="K153" i="1"/>
  <c r="L153" i="1" s="1"/>
  <c r="M153" i="1" s="1"/>
  <c r="K156" i="1"/>
  <c r="L156" i="1" s="1"/>
  <c r="M156" i="1" s="1"/>
  <c r="K157" i="1"/>
  <c r="L157" i="1" s="1"/>
  <c r="M157" i="1" s="1"/>
  <c r="K160" i="1"/>
  <c r="L160" i="1" s="1"/>
  <c r="M160" i="1" s="1"/>
  <c r="K161" i="1"/>
  <c r="L161" i="1" s="1"/>
  <c r="M161" i="1" s="1"/>
  <c r="K164" i="1"/>
  <c r="L164" i="1" s="1"/>
  <c r="M164" i="1" s="1"/>
  <c r="K165" i="1"/>
  <c r="L165" i="1" s="1"/>
  <c r="M165" i="1" s="1"/>
  <c r="K168" i="1"/>
  <c r="L168" i="1" s="1"/>
  <c r="M168" i="1" s="1"/>
  <c r="K169" i="1"/>
  <c r="L169" i="1" s="1"/>
  <c r="M169" i="1" s="1"/>
  <c r="K172" i="1"/>
  <c r="L172" i="1" s="1"/>
  <c r="M172" i="1" s="1"/>
  <c r="K173" i="1"/>
  <c r="L173" i="1" s="1"/>
  <c r="M173" i="1" s="1"/>
  <c r="K174" i="1"/>
  <c r="L174" i="1" s="1"/>
  <c r="M174" i="1" s="1"/>
  <c r="K176" i="1"/>
  <c r="L176" i="1" s="1"/>
  <c r="M176" i="1" s="1"/>
  <c r="K177" i="1"/>
  <c r="L177" i="1" s="1"/>
  <c r="M177" i="1" s="1"/>
  <c r="K180" i="1"/>
  <c r="L180" i="1" s="1"/>
  <c r="M180" i="1" s="1"/>
  <c r="K181" i="1"/>
  <c r="L181" i="1" s="1"/>
  <c r="M181" i="1" s="1"/>
  <c r="K184" i="1"/>
  <c r="L184" i="1" s="1"/>
  <c r="M184" i="1" s="1"/>
  <c r="K185" i="1"/>
  <c r="L185" i="1" s="1"/>
  <c r="M185" i="1" s="1"/>
  <c r="K188" i="1"/>
  <c r="L188" i="1" s="1"/>
  <c r="M188" i="1" s="1"/>
  <c r="K189" i="1"/>
  <c r="L189" i="1" s="1"/>
  <c r="M189" i="1" s="1"/>
  <c r="K190" i="1"/>
  <c r="L190" i="1" s="1"/>
  <c r="M190" i="1" s="1"/>
  <c r="K192" i="1"/>
  <c r="L192" i="1" s="1"/>
  <c r="M192" i="1" s="1"/>
  <c r="K193" i="1"/>
  <c r="L193" i="1" s="1"/>
  <c r="M193" i="1" s="1"/>
  <c r="K196" i="1"/>
  <c r="L196" i="1" s="1"/>
  <c r="M196" i="1" s="1"/>
  <c r="K197" i="1"/>
  <c r="L197" i="1" s="1"/>
  <c r="M197" i="1" s="1"/>
  <c r="K200" i="1"/>
  <c r="L200" i="1" s="1"/>
  <c r="M200" i="1" s="1"/>
  <c r="K201" i="1"/>
  <c r="L201" i="1" s="1"/>
  <c r="M201" i="1" s="1"/>
  <c r="K204" i="1"/>
  <c r="L204" i="1" s="1"/>
  <c r="M204" i="1" s="1"/>
  <c r="K205" i="1"/>
  <c r="L205" i="1" s="1"/>
  <c r="M205" i="1" s="1"/>
  <c r="K206" i="1"/>
  <c r="L206" i="1" s="1"/>
  <c r="M206" i="1" s="1"/>
  <c r="K208" i="1"/>
  <c r="L208" i="1" s="1"/>
  <c r="M208" i="1" s="1"/>
  <c r="K209" i="1"/>
  <c r="L209" i="1" s="1"/>
  <c r="M209" i="1" s="1"/>
  <c r="K212" i="1"/>
  <c r="L212" i="1" s="1"/>
  <c r="M212" i="1" s="1"/>
  <c r="K213" i="1"/>
  <c r="L213" i="1" s="1"/>
  <c r="M213" i="1" s="1"/>
  <c r="K216" i="1"/>
  <c r="L216" i="1" s="1"/>
  <c r="M216" i="1" s="1"/>
  <c r="K217" i="1"/>
  <c r="L217" i="1" s="1"/>
  <c r="M217" i="1" s="1"/>
  <c r="K220" i="1"/>
  <c r="L220" i="1" s="1"/>
  <c r="M220" i="1" s="1"/>
  <c r="K221" i="1"/>
  <c r="L221" i="1" s="1"/>
  <c r="M221" i="1" s="1"/>
  <c r="K222" i="1"/>
  <c r="L222" i="1" s="1"/>
  <c r="M222" i="1" s="1"/>
  <c r="K224" i="1"/>
  <c r="L224" i="1" s="1"/>
  <c r="M224" i="1" s="1"/>
  <c r="K225" i="1"/>
  <c r="L225" i="1" s="1"/>
  <c r="M225" i="1" s="1"/>
  <c r="K228" i="1"/>
  <c r="L228" i="1" s="1"/>
  <c r="M228" i="1" s="1"/>
  <c r="K229" i="1"/>
  <c r="L229" i="1" s="1"/>
  <c r="M229" i="1" s="1"/>
  <c r="K232" i="1"/>
  <c r="L232" i="1" s="1"/>
  <c r="M232" i="1" s="1"/>
  <c r="K233" i="1"/>
  <c r="L233" i="1" s="1"/>
  <c r="M233" i="1" s="1"/>
  <c r="K236" i="1"/>
  <c r="L236" i="1" s="1"/>
  <c r="M236" i="1" s="1"/>
  <c r="K237" i="1"/>
  <c r="L237" i="1" s="1"/>
  <c r="M237" i="1" s="1"/>
  <c r="K238" i="1"/>
  <c r="L238" i="1" s="1"/>
  <c r="M238" i="1" s="1"/>
  <c r="K240" i="1"/>
  <c r="L240" i="1" s="1"/>
  <c r="M240" i="1" s="1"/>
  <c r="K241" i="1"/>
  <c r="L241" i="1" s="1"/>
  <c r="M241" i="1" s="1"/>
  <c r="K244" i="1"/>
  <c r="L244" i="1" s="1"/>
  <c r="M244" i="1" s="1"/>
  <c r="K245" i="1"/>
  <c r="L245" i="1" s="1"/>
  <c r="M245" i="1" s="1"/>
  <c r="K249" i="1"/>
  <c r="L249" i="1" s="1"/>
  <c r="M249" i="1" s="1"/>
  <c r="K252" i="1"/>
  <c r="L252" i="1" s="1"/>
  <c r="M252" i="1" s="1"/>
  <c r="K253" i="1"/>
  <c r="L253" i="1" s="1"/>
  <c r="M253" i="1" s="1"/>
  <c r="K256" i="1"/>
  <c r="L256" i="1" s="1"/>
  <c r="M256" i="1" s="1"/>
  <c r="K19" i="1"/>
  <c r="L19" i="1" s="1"/>
  <c r="K28" i="1"/>
  <c r="L28" i="1" s="1"/>
  <c r="M28" i="1" s="1"/>
  <c r="K40" i="1"/>
  <c r="L40" i="1" s="1"/>
  <c r="M40" i="1" s="1"/>
  <c r="K56" i="1"/>
  <c r="L56" i="1" s="1"/>
  <c r="K72" i="1"/>
  <c r="L72" i="1" s="1"/>
  <c r="K94" i="1"/>
  <c r="L94" i="1" s="1"/>
  <c r="M94" i="1" s="1"/>
  <c r="K100" i="1"/>
  <c r="L100" i="1" s="1"/>
  <c r="M100" i="1" s="1"/>
  <c r="K158" i="1"/>
  <c r="L158" i="1" s="1"/>
  <c r="M158" i="1" s="1"/>
  <c r="K149" i="1" l="1"/>
  <c r="L149" i="1" s="1"/>
  <c r="M149" i="1" s="1"/>
  <c r="K57" i="1"/>
  <c r="L57" i="1" s="1"/>
  <c r="K5" i="1"/>
  <c r="L5" i="1" s="1"/>
  <c r="K17" i="1"/>
  <c r="L17" i="1" s="1"/>
  <c r="K16" i="1"/>
  <c r="L16" i="1" s="1"/>
  <c r="K13" i="1"/>
  <c r="L13" i="1" s="1"/>
  <c r="K11" i="1"/>
  <c r="L11" i="1" s="1"/>
  <c r="K9" i="1"/>
  <c r="L9" i="1" s="1"/>
  <c r="K4" i="1"/>
  <c r="L4" i="1" s="1"/>
  <c r="K3" i="1"/>
  <c r="L3" i="1" s="1"/>
  <c r="K26" i="1"/>
  <c r="L26" i="1" s="1"/>
  <c r="K257" i="1"/>
  <c r="L257" i="1" s="1"/>
  <c r="M257" i="1" s="1"/>
  <c r="K258" i="1"/>
  <c r="L258" i="1" s="1"/>
  <c r="M258" i="1" s="1"/>
  <c r="K254" i="1"/>
  <c r="L254" i="1" s="1"/>
  <c r="M254" i="1" s="1"/>
  <c r="K250" i="1"/>
  <c r="L250" i="1" s="1"/>
  <c r="M250" i="1" s="1"/>
  <c r="K246" i="1"/>
  <c r="L246" i="1" s="1"/>
  <c r="M246" i="1" s="1"/>
  <c r="K242" i="1"/>
  <c r="L242" i="1" s="1"/>
  <c r="M242" i="1" s="1"/>
  <c r="K234" i="1"/>
  <c r="L234" i="1" s="1"/>
  <c r="M234" i="1" s="1"/>
  <c r="K230" i="1"/>
  <c r="L230" i="1" s="1"/>
  <c r="M230" i="1" s="1"/>
  <c r="K226" i="1"/>
  <c r="L226" i="1" s="1"/>
  <c r="M226" i="1" s="1"/>
  <c r="K218" i="1"/>
  <c r="L218" i="1" s="1"/>
  <c r="M218" i="1" s="1"/>
  <c r="K214" i="1"/>
  <c r="L214" i="1" s="1"/>
  <c r="M214" i="1" s="1"/>
  <c r="K210" i="1"/>
  <c r="L210" i="1" s="1"/>
  <c r="M210" i="1" s="1"/>
  <c r="K202" i="1"/>
  <c r="L202" i="1" s="1"/>
  <c r="M202" i="1" s="1"/>
  <c r="K198" i="1"/>
  <c r="L198" i="1" s="1"/>
  <c r="M198" i="1" s="1"/>
  <c r="K194" i="1"/>
  <c r="L194" i="1" s="1"/>
  <c r="M194" i="1" s="1"/>
  <c r="K186" i="1"/>
  <c r="L186" i="1" s="1"/>
  <c r="M186" i="1" s="1"/>
  <c r="K182" i="1"/>
  <c r="L182" i="1" s="1"/>
  <c r="M182" i="1" s="1"/>
  <c r="K178" i="1"/>
  <c r="L178" i="1" s="1"/>
  <c r="M178" i="1" s="1"/>
  <c r="K170" i="1"/>
  <c r="L170" i="1" s="1"/>
  <c r="M170" i="1" s="1"/>
  <c r="K166" i="1"/>
  <c r="L166" i="1" s="1"/>
  <c r="M166" i="1" s="1"/>
  <c r="K162" i="1"/>
  <c r="L162" i="1" s="1"/>
  <c r="M162" i="1" s="1"/>
  <c r="K154" i="1"/>
  <c r="L154" i="1" s="1"/>
  <c r="M154" i="1" s="1"/>
  <c r="K150" i="1"/>
  <c r="L150" i="1" s="1"/>
  <c r="M150" i="1" s="1"/>
  <c r="K146" i="1"/>
  <c r="L146" i="1" s="1"/>
  <c r="M146" i="1" s="1"/>
  <c r="K138" i="1"/>
  <c r="L138" i="1" s="1"/>
  <c r="M138" i="1" s="1"/>
  <c r="K134" i="1"/>
  <c r="L134" i="1" s="1"/>
  <c r="M134" i="1" s="1"/>
  <c r="K130" i="1"/>
  <c r="L130" i="1" s="1"/>
  <c r="M130" i="1" s="1"/>
  <c r="K122" i="1"/>
  <c r="L122" i="1" s="1"/>
  <c r="K118" i="1"/>
  <c r="L118" i="1" s="1"/>
  <c r="M118" i="1" s="1"/>
  <c r="K114" i="1"/>
  <c r="L114" i="1" s="1"/>
  <c r="K106" i="1"/>
  <c r="L106" i="1" s="1"/>
  <c r="M106" i="1" s="1"/>
  <c r="K102" i="1"/>
  <c r="L102" i="1" s="1"/>
  <c r="K98" i="1"/>
  <c r="L98" i="1" s="1"/>
  <c r="K90" i="1"/>
  <c r="L90" i="1" s="1"/>
  <c r="K86" i="1"/>
  <c r="L86" i="1" s="1"/>
  <c r="K82" i="1"/>
  <c r="L82" i="1" s="1"/>
  <c r="M82" i="1" s="1"/>
  <c r="K74" i="1"/>
  <c r="L74" i="1" s="1"/>
  <c r="K70" i="1"/>
  <c r="L70" i="1" s="1"/>
  <c r="M70" i="1" s="1"/>
  <c r="K66" i="1"/>
  <c r="L66" i="1" s="1"/>
  <c r="K58" i="1"/>
  <c r="L58" i="1" s="1"/>
  <c r="M58" i="1" s="1"/>
  <c r="K54" i="1"/>
  <c r="L54" i="1" s="1"/>
  <c r="K50" i="1"/>
  <c r="L50" i="1" s="1"/>
  <c r="K42" i="1"/>
  <c r="L42" i="1" s="1"/>
  <c r="K38" i="1"/>
  <c r="L38" i="1" s="1"/>
  <c r="K248" i="1"/>
  <c r="L248" i="1" s="1"/>
  <c r="M248" i="1" s="1"/>
  <c r="K2" i="1"/>
  <c r="L2" i="1" s="1"/>
  <c r="M2" i="1" s="1"/>
  <c r="K255" i="1"/>
  <c r="L255" i="1" s="1"/>
  <c r="M255" i="1" s="1"/>
  <c r="K251" i="1"/>
  <c r="L251" i="1" s="1"/>
  <c r="M251" i="1" s="1"/>
  <c r="K247" i="1"/>
  <c r="L247" i="1" s="1"/>
  <c r="M247" i="1" s="1"/>
  <c r="K243" i="1"/>
  <c r="L243" i="1" s="1"/>
  <c r="M243" i="1" s="1"/>
  <c r="K239" i="1"/>
  <c r="L239" i="1" s="1"/>
  <c r="M239" i="1" s="1"/>
  <c r="K235" i="1"/>
  <c r="L235" i="1" s="1"/>
  <c r="M235" i="1" s="1"/>
  <c r="K231" i="1"/>
  <c r="L231" i="1" s="1"/>
  <c r="M231" i="1" s="1"/>
  <c r="K227" i="1"/>
  <c r="L227" i="1" s="1"/>
  <c r="M227" i="1" s="1"/>
  <c r="K223" i="1"/>
  <c r="L223" i="1" s="1"/>
  <c r="M223" i="1" s="1"/>
  <c r="K219" i="1"/>
  <c r="L219" i="1" s="1"/>
  <c r="M219" i="1" s="1"/>
  <c r="K215" i="1"/>
  <c r="L215" i="1" s="1"/>
  <c r="M215" i="1" s="1"/>
  <c r="K211" i="1"/>
  <c r="L211" i="1" s="1"/>
  <c r="M211" i="1" s="1"/>
  <c r="K207" i="1"/>
  <c r="L207" i="1" s="1"/>
  <c r="M207" i="1" s="1"/>
  <c r="K203" i="1"/>
  <c r="L203" i="1" s="1"/>
  <c r="M203" i="1" s="1"/>
  <c r="K199" i="1"/>
  <c r="L199" i="1" s="1"/>
  <c r="M199" i="1" s="1"/>
  <c r="K195" i="1"/>
  <c r="L195" i="1" s="1"/>
  <c r="M195" i="1" s="1"/>
  <c r="K191" i="1"/>
  <c r="L191" i="1" s="1"/>
  <c r="M191" i="1" s="1"/>
  <c r="K187" i="1"/>
  <c r="L187" i="1" s="1"/>
  <c r="M187" i="1" s="1"/>
  <c r="K183" i="1"/>
  <c r="L183" i="1" s="1"/>
  <c r="M183" i="1" s="1"/>
  <c r="K179" i="1"/>
  <c r="L179" i="1" s="1"/>
  <c r="M179" i="1" s="1"/>
  <c r="K175" i="1"/>
  <c r="L175" i="1" s="1"/>
  <c r="M175" i="1" s="1"/>
  <c r="K171" i="1"/>
  <c r="L171" i="1" s="1"/>
  <c r="M171" i="1" s="1"/>
  <c r="K167" i="1"/>
  <c r="L167" i="1" s="1"/>
  <c r="M167" i="1" s="1"/>
  <c r="K163" i="1"/>
  <c r="L163" i="1" s="1"/>
  <c r="M163" i="1" s="1"/>
  <c r="K159" i="1"/>
  <c r="L159" i="1" s="1"/>
  <c r="M159" i="1" s="1"/>
  <c r="K155" i="1"/>
  <c r="L155" i="1" s="1"/>
  <c r="M155" i="1" s="1"/>
  <c r="K151" i="1"/>
  <c r="L151" i="1" s="1"/>
  <c r="M151" i="1" s="1"/>
  <c r="K147" i="1"/>
  <c r="L147" i="1" s="1"/>
  <c r="M147" i="1" s="1"/>
  <c r="K143" i="1"/>
  <c r="L143" i="1" s="1"/>
  <c r="M143" i="1" s="1"/>
  <c r="K139" i="1"/>
  <c r="L139" i="1" s="1"/>
  <c r="M139" i="1" s="1"/>
  <c r="K135" i="1"/>
  <c r="L135" i="1" s="1"/>
  <c r="M135" i="1" s="1"/>
  <c r="K131" i="1"/>
  <c r="L131" i="1" s="1"/>
  <c r="M131" i="1" s="1"/>
  <c r="K127" i="1"/>
  <c r="L127" i="1" s="1"/>
  <c r="M127" i="1" s="1"/>
  <c r="K123" i="1"/>
  <c r="L123" i="1" s="1"/>
  <c r="M123" i="1" s="1"/>
  <c r="K119" i="1"/>
  <c r="L119" i="1" s="1"/>
  <c r="M119" i="1" s="1"/>
  <c r="K115" i="1"/>
  <c r="L115" i="1" s="1"/>
  <c r="M115" i="1" s="1"/>
  <c r="K111" i="1"/>
  <c r="L111" i="1" s="1"/>
  <c r="M111" i="1" s="1"/>
  <c r="K107" i="1"/>
  <c r="L107" i="1" s="1"/>
  <c r="M107" i="1" s="1"/>
  <c r="K103" i="1"/>
  <c r="L103" i="1" s="1"/>
  <c r="M103" i="1" s="1"/>
  <c r="K99" i="1"/>
  <c r="L99" i="1" s="1"/>
  <c r="M99" i="1" s="1"/>
  <c r="K95" i="1"/>
  <c r="L95" i="1" s="1"/>
  <c r="M95" i="1" s="1"/>
  <c r="K91" i="1"/>
  <c r="L91" i="1" s="1"/>
  <c r="M91" i="1" s="1"/>
  <c r="K87" i="1"/>
  <c r="L87" i="1" s="1"/>
  <c r="M87" i="1" s="1"/>
  <c r="K83" i="1"/>
  <c r="L83" i="1" s="1"/>
  <c r="M83" i="1" s="1"/>
  <c r="K79" i="1"/>
  <c r="L79" i="1" s="1"/>
  <c r="M79" i="1" s="1"/>
  <c r="K75" i="1"/>
  <c r="L75" i="1" s="1"/>
  <c r="M75" i="1" s="1"/>
  <c r="K71" i="1"/>
  <c r="L71" i="1" s="1"/>
  <c r="M71" i="1" s="1"/>
  <c r="K67" i="1"/>
  <c r="L67" i="1" s="1"/>
  <c r="M67" i="1" s="1"/>
  <c r="K63" i="1"/>
  <c r="L63" i="1" s="1"/>
  <c r="M63" i="1" s="1"/>
  <c r="K59" i="1"/>
  <c r="L59" i="1" s="1"/>
  <c r="M59" i="1" s="1"/>
  <c r="K55" i="1"/>
  <c r="L55" i="1" s="1"/>
  <c r="M55" i="1" s="1"/>
  <c r="K51" i="1"/>
  <c r="L51" i="1" s="1"/>
  <c r="M51" i="1" s="1"/>
  <c r="K47" i="1"/>
  <c r="L47" i="1" s="1"/>
  <c r="M47" i="1" s="1"/>
  <c r="K43" i="1"/>
  <c r="L43" i="1" s="1"/>
  <c r="M43" i="1" s="1"/>
  <c r="K39" i="1"/>
  <c r="L39" i="1" s="1"/>
  <c r="M39" i="1" s="1"/>
  <c r="K35" i="1"/>
  <c r="L35" i="1" s="1"/>
  <c r="M35" i="1" s="1"/>
  <c r="K31" i="1"/>
  <c r="L31" i="1" s="1"/>
  <c r="M31" i="1" s="1"/>
  <c r="K27" i="1"/>
  <c r="L27" i="1" s="1"/>
  <c r="M27" i="1" s="1"/>
  <c r="K22" i="1"/>
  <c r="L22" i="1" s="1"/>
  <c r="M22" i="1" s="1"/>
  <c r="K18" i="1"/>
  <c r="L18" i="1" s="1"/>
  <c r="M18" i="1" s="1"/>
  <c r="K14" i="1"/>
  <c r="L14" i="1" s="1"/>
  <c r="K10" i="1"/>
  <c r="L10" i="1" s="1"/>
  <c r="K6" i="1"/>
  <c r="L6" i="1" s="1"/>
  <c r="M19" i="1" l="1"/>
  <c r="M16" i="1"/>
  <c r="M42" i="1"/>
  <c r="M66" i="1"/>
  <c r="M86" i="1"/>
  <c r="M21" i="1"/>
  <c r="M110" i="1"/>
  <c r="M32" i="1"/>
  <c r="M60" i="1"/>
  <c r="M92" i="1"/>
  <c r="M116" i="1"/>
  <c r="M29" i="1"/>
  <c r="M53" i="1"/>
  <c r="M77" i="1"/>
  <c r="M101" i="1"/>
  <c r="M50" i="1"/>
  <c r="M90" i="1"/>
  <c r="M114" i="1"/>
  <c r="M30" i="1"/>
  <c r="M20" i="1"/>
  <c r="M36" i="1"/>
  <c r="M68" i="1"/>
  <c r="M96" i="1"/>
  <c r="M120" i="1"/>
  <c r="M33" i="1"/>
  <c r="M57" i="1"/>
  <c r="M81" i="1"/>
  <c r="M105" i="1"/>
  <c r="M54" i="1"/>
  <c r="M74" i="1"/>
  <c r="M98" i="1"/>
  <c r="M17" i="1"/>
  <c r="M62" i="1"/>
  <c r="M72" i="1"/>
  <c r="M44" i="1"/>
  <c r="M80" i="1"/>
  <c r="M104" i="1"/>
  <c r="M56" i="1"/>
  <c r="M41" i="1"/>
  <c r="M65" i="1"/>
  <c r="M89" i="1"/>
  <c r="M113" i="1"/>
  <c r="M38" i="1"/>
  <c r="M102" i="1"/>
  <c r="M122" i="1"/>
  <c r="M26" i="1"/>
  <c r="M78" i="1"/>
  <c r="M23" i="1"/>
  <c r="M48" i="1"/>
  <c r="M84" i="1"/>
  <c r="M108" i="1"/>
  <c r="M24" i="1"/>
  <c r="M45" i="1"/>
  <c r="M69" i="1"/>
  <c r="M93" i="1"/>
  <c r="M117" i="1"/>
  <c r="M6" i="1"/>
  <c r="M14" i="1"/>
  <c r="M3" i="1"/>
  <c r="M13" i="1"/>
  <c r="M7" i="1"/>
  <c r="M4" i="1"/>
  <c r="M15" i="1"/>
  <c r="M9" i="1"/>
  <c r="M8" i="1"/>
  <c r="M10" i="1"/>
  <c r="M11" i="1"/>
  <c r="M5" i="1"/>
  <c r="M12" i="1"/>
</calcChain>
</file>

<file path=xl/sharedStrings.xml><?xml version="1.0" encoding="utf-8"?>
<sst xmlns="http://schemas.openxmlformats.org/spreadsheetml/2006/main" count="907" uniqueCount="176">
  <si>
    <t>ADD</t>
  </si>
  <si>
    <t>SHL</t>
  </si>
  <si>
    <t>SHR</t>
  </si>
  <si>
    <t>NOT</t>
  </si>
  <si>
    <t>AND</t>
  </si>
  <si>
    <t>OR</t>
  </si>
  <si>
    <t>XOR</t>
  </si>
  <si>
    <t>CMP</t>
  </si>
  <si>
    <t>R0</t>
  </si>
  <si>
    <t>R1</t>
  </si>
  <si>
    <t>R2</t>
  </si>
  <si>
    <t>R3</t>
  </si>
  <si>
    <t>ASSEMBLEY LANGUAGE</t>
  </si>
  <si>
    <t>OPCODE</t>
  </si>
  <si>
    <t>LD</t>
  </si>
  <si>
    <t>0000</t>
  </si>
  <si>
    <t>0001</t>
  </si>
  <si>
    <t>ST</t>
  </si>
  <si>
    <t>LOAD FROM RAM ADDRESS IN RA TO REGISTER RB</t>
  </si>
  <si>
    <t>DESCRIPTION</t>
  </si>
  <si>
    <t>STORE RB TO RAM ADDRESS IN RA</t>
  </si>
  <si>
    <t>ADD RA,RB</t>
  </si>
  <si>
    <t>ADD RA AND RB AND PUT IN RB</t>
  </si>
  <si>
    <t>AND RA AND PUT ANSWER IN RB</t>
  </si>
  <si>
    <t>NOT RA AND PUT ANSWER IN RB</t>
  </si>
  <si>
    <t>SHIFT RA RIGHT AND PUT ANSWER IN RB</t>
  </si>
  <si>
    <t>SHIFT RA LEFT AND PUT ANSWER IN RB</t>
  </si>
  <si>
    <t>OR RA AND PUT ANSWER IN RB</t>
  </si>
  <si>
    <t>XOR RA AND PUT ANSWER IN RB</t>
  </si>
  <si>
    <t>COMPARE RA AND RB</t>
  </si>
  <si>
    <t>REGISTER R0</t>
  </si>
  <si>
    <t>REGISTER R1</t>
  </si>
  <si>
    <t>REGISTER R2</t>
  </si>
  <si>
    <t>REGISTER R3</t>
  </si>
  <si>
    <t>DATA</t>
  </si>
  <si>
    <t>LOAD 8 BITS IN NEXT ADDRESS INTO RB</t>
  </si>
  <si>
    <t>JMPR</t>
  </si>
  <si>
    <t>JUMP TO ADDRESS RB</t>
  </si>
  <si>
    <t>JMP</t>
  </si>
  <si>
    <t>JUMP TO ADDRESS IN NEXT BYTE</t>
  </si>
  <si>
    <t>JZ</t>
  </si>
  <si>
    <t>JUMP IF ANSWER IS ZERO</t>
  </si>
  <si>
    <t>01010010</t>
  </si>
  <si>
    <t>JE</t>
  </si>
  <si>
    <t>JUMP IF A EQAULS B</t>
  </si>
  <si>
    <t>JA</t>
  </si>
  <si>
    <t>01010100</t>
  </si>
  <si>
    <t>JC</t>
  </si>
  <si>
    <t>01011000</t>
  </si>
  <si>
    <t>JUMP IF CARRY IS ON</t>
  </si>
  <si>
    <t>JCA</t>
  </si>
  <si>
    <t>JCE</t>
  </si>
  <si>
    <t>JCZ</t>
  </si>
  <si>
    <t>JAE</t>
  </si>
  <si>
    <t>JAZ</t>
  </si>
  <si>
    <t>JEZ</t>
  </si>
  <si>
    <t>JCAE</t>
  </si>
  <si>
    <t>JCEZ</t>
  </si>
  <si>
    <t>JAEZ</t>
  </si>
  <si>
    <t>JCAEZ</t>
  </si>
  <si>
    <t>JUMP IF CARRY OR A LARGER</t>
  </si>
  <si>
    <t>JUMP IF CARRY OR A EQUAL B</t>
  </si>
  <si>
    <t>JUMP IF CARRY OR ANSWER IS ZERO</t>
  </si>
  <si>
    <t>JUMP IF A IS LARGER OR ANSWER IS ZERO</t>
  </si>
  <si>
    <t>JUMP IF A EQAULS B OR ANSWER IS ZERO</t>
  </si>
  <si>
    <t>JUMP IF CARRY OR A LARGER OREQUAL TO B</t>
  </si>
  <si>
    <t>JUMP IF CARRY OR A LARGER OR EQUAL OR ZERO</t>
  </si>
  <si>
    <t>JUMP IF A IS LARGER THAN B</t>
  </si>
  <si>
    <t>CLF</t>
  </si>
  <si>
    <t>CLEAR ALL FLAGS</t>
  </si>
  <si>
    <t>EXAMPLE</t>
  </si>
  <si>
    <t>SHL RA,RB</t>
  </si>
  <si>
    <t>SHR RA,RB</t>
  </si>
  <si>
    <t>NOT RA.RB</t>
  </si>
  <si>
    <t>AND RA,RB</t>
  </si>
  <si>
    <t>OR RA,RB</t>
  </si>
  <si>
    <t>XOR RA,RB</t>
  </si>
  <si>
    <t>CMP RA,RB</t>
  </si>
  <si>
    <t>LD RA,RB</t>
  </si>
  <si>
    <t>ST RA,RB</t>
  </si>
  <si>
    <t>JMPR RB</t>
  </si>
  <si>
    <t>DATA RB,Addr</t>
  </si>
  <si>
    <t>JMP Addr</t>
  </si>
  <si>
    <t>JZ Addr</t>
  </si>
  <si>
    <t>JE Addr</t>
  </si>
  <si>
    <t>JA Addr</t>
  </si>
  <si>
    <t>JC Addr</t>
  </si>
  <si>
    <t>JCA Addr</t>
  </si>
  <si>
    <t>JCE Addr</t>
  </si>
  <si>
    <t>JCZ Addr</t>
  </si>
  <si>
    <t>JAE Addr</t>
  </si>
  <si>
    <t>JAZ Addr</t>
  </si>
  <si>
    <t>JEZ Addr</t>
  </si>
  <si>
    <t>JCAE Addr</t>
  </si>
  <si>
    <t>JCEZ Addr</t>
  </si>
  <si>
    <t>JAEZ Addr</t>
  </si>
  <si>
    <t>JCAEZ Addr</t>
  </si>
  <si>
    <t>01100000</t>
  </si>
  <si>
    <t>00</t>
  </si>
  <si>
    <t>01</t>
  </si>
  <si>
    <t>IND</t>
  </si>
  <si>
    <t>INA</t>
  </si>
  <si>
    <t>OUTD</t>
  </si>
  <si>
    <t>OUTA</t>
  </si>
  <si>
    <t>INPUT I/O DATA TO RB</t>
  </si>
  <si>
    <t>INPUT I/O ADDRESS TO RB</t>
  </si>
  <si>
    <t>OUTPUT I/O DATA TO RB</t>
  </si>
  <si>
    <t>OUTPUT I/O ADDRESS TO RB</t>
  </si>
  <si>
    <t>IN DATA,RB</t>
  </si>
  <si>
    <t>IN Addr,RB</t>
  </si>
  <si>
    <t>OUT DATA,RB</t>
  </si>
  <si>
    <t>OUT Addr,RB</t>
  </si>
  <si>
    <t>0010</t>
  </si>
  <si>
    <t>RA</t>
  </si>
  <si>
    <t>RB</t>
  </si>
  <si>
    <t>10</t>
  </si>
  <si>
    <t>11</t>
  </si>
  <si>
    <t>BYTE</t>
  </si>
  <si>
    <t>CODE</t>
  </si>
  <si>
    <t>MCODE</t>
  </si>
  <si>
    <t>BYTES</t>
  </si>
  <si>
    <t>RAM</t>
  </si>
  <si>
    <t>JCAZ</t>
  </si>
  <si>
    <t>JUMP IF CARRY OR A LARGER OR ZERO</t>
  </si>
  <si>
    <t>JCAZ Addr</t>
  </si>
  <si>
    <t>JUMP IF CARRY ORA EQUALS B OR ZERO</t>
  </si>
  <si>
    <t>JUMP IF A LARGER OR EQUAL TO B OR ZERO</t>
  </si>
  <si>
    <t>01011100</t>
  </si>
  <si>
    <t>01011010</t>
  </si>
  <si>
    <t>01011001</t>
  </si>
  <si>
    <t>01010110</t>
  </si>
  <si>
    <t>01010101</t>
  </si>
  <si>
    <t>01010011</t>
  </si>
  <si>
    <t>01011110</t>
  </si>
  <si>
    <t>01011101</t>
  </si>
  <si>
    <t>01011011</t>
  </si>
  <si>
    <t>01010111</t>
  </si>
  <si>
    <t>01011111</t>
  </si>
  <si>
    <t>01010001</t>
  </si>
  <si>
    <t>MCODE_TEST</t>
  </si>
  <si>
    <t>MCODE_1</t>
  </si>
  <si>
    <t/>
  </si>
  <si>
    <t>v2.0 raw</t>
  </si>
  <si>
    <t>MACHINE CODE</t>
  </si>
  <si>
    <t>FILE TO LOGISIM</t>
  </si>
  <si>
    <t>END</t>
  </si>
  <si>
    <t>JUMP IF A IS LARGER OR EQUAL TO B</t>
  </si>
  <si>
    <t>00000001</t>
  </si>
  <si>
    <t>00000101</t>
  </si>
  <si>
    <t>00001100</t>
  </si>
  <si>
    <t>00001111</t>
  </si>
  <si>
    <t>00010111</t>
  </si>
  <si>
    <t>00100011</t>
  </si>
  <si>
    <t>00100000</t>
  </si>
  <si>
    <t>00100001</t>
  </si>
  <si>
    <t>00000111</t>
  </si>
  <si>
    <t>0100</t>
  </si>
  <si>
    <t>01000000</t>
  </si>
  <si>
    <t>11101010</t>
  </si>
  <si>
    <t>10010000</t>
  </si>
  <si>
    <t>10000110</t>
  </si>
  <si>
    <t>10100101</t>
  </si>
  <si>
    <t>10101111</t>
  </si>
  <si>
    <t>00001101</t>
  </si>
  <si>
    <t>00010110</t>
  </si>
  <si>
    <t>ADD RA , RB</t>
  </si>
  <si>
    <t>SHL RA , RB</t>
  </si>
  <si>
    <t>SHR RA , RB</t>
  </si>
  <si>
    <t>NOT RA ,RB</t>
  </si>
  <si>
    <t>AND RA , RB</t>
  </si>
  <si>
    <t>OR RA , RB</t>
  </si>
  <si>
    <t>XOR RA , RB</t>
  </si>
  <si>
    <t>CMP RA , RB</t>
  </si>
  <si>
    <t>LD RA , RB</t>
  </si>
  <si>
    <t>ST RA , RB</t>
  </si>
  <si>
    <t>DATA RB , Addr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</si>
</sst>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00000000"/>
    <numFmt numFmtId="166" formatCode="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4" fontId="0" fillId="2" borderId="1" xfId="0" applyNumberFormat="1" applyFill="1" applyBorder="1" applyAlignment="1">
      <alignment horizontal="left"/>
    </xf>
    <xf numFmtId="164" fontId="0" fillId="0" borderId="0" xfId="0" applyNumberFormat="1" applyAlignment="1">
      <alignment horizontal="left"/>
    </xf>
    <xf numFmtId="165" fontId="0" fillId="2" borderId="1" xfId="0" applyNumberFormat="1" applyFill="1" applyBorder="1" applyAlignment="1">
      <alignment horizontal="left"/>
    </xf>
    <xf numFmtId="165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" xfId="0" quotePrefix="1" applyNumberFormat="1" applyBorder="1" applyAlignment="1">
      <alignment horizontal="left"/>
    </xf>
    <xf numFmtId="165" fontId="0" fillId="3" borderId="1" xfId="0" applyNumberFormat="1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0" fontId="0" fillId="0" borderId="1" xfId="0" quotePrefix="1" applyBorder="1" applyAlignment="1">
      <alignment horizontal="left"/>
    </xf>
    <xf numFmtId="164" fontId="0" fillId="0" borderId="1" xfId="0" quotePrefix="1" applyNumberFormat="1" applyBorder="1" applyAlignment="1">
      <alignment horizontal="left"/>
    </xf>
    <xf numFmtId="0" fontId="0" fillId="2" borderId="1" xfId="0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164" fontId="0" fillId="4" borderId="1" xfId="0" quotePrefix="1" applyNumberFormat="1" applyFill="1" applyBorder="1" applyAlignment="1">
      <alignment horizontal="left"/>
    </xf>
    <xf numFmtId="166" fontId="0" fillId="4" borderId="1" xfId="0" applyNumberFormat="1" applyFill="1" applyBorder="1" applyAlignment="1">
      <alignment horizontal="left"/>
    </xf>
    <xf numFmtId="49" fontId="0" fillId="4" borderId="1" xfId="0" applyNumberFormat="1" applyFill="1" applyBorder="1" applyAlignment="1">
      <alignment horizontal="left"/>
    </xf>
    <xf numFmtId="49" fontId="0" fillId="3" borderId="0" xfId="0" applyNumberFormat="1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 applyProtection="1">
      <alignment horizontal="left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left"/>
    </xf>
    <xf numFmtId="165" fontId="0" fillId="3" borderId="2" xfId="0" applyNumberFormat="1" applyFill="1" applyBorder="1" applyAlignment="1">
      <alignment horizontal="left"/>
    </xf>
    <xf numFmtId="164" fontId="0" fillId="0" borderId="2" xfId="0" quotePrefix="1" applyNumberFormat="1" applyBorder="1" applyAlignment="1">
      <alignment horizontal="left"/>
    </xf>
    <xf numFmtId="164" fontId="0" fillId="4" borderId="2" xfId="0" quotePrefix="1" applyNumberFormat="1" applyFill="1" applyBorder="1" applyAlignment="1">
      <alignment horizontal="left"/>
    </xf>
    <xf numFmtId="49" fontId="0" fillId="4" borderId="2" xfId="0" applyNumberFormat="1" applyFill="1" applyBorder="1" applyAlignment="1">
      <alignment horizontal="left"/>
    </xf>
    <xf numFmtId="0" fontId="0" fillId="3" borderId="0" xfId="0" applyFill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164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" xfId="0" quotePrefix="1" applyFont="1" applyBorder="1" applyAlignment="1">
      <alignment horizontal="left"/>
    </xf>
    <xf numFmtId="49" fontId="2" fillId="0" borderId="1" xfId="0" quotePrefix="1" applyNumberFormat="1" applyFont="1" applyBorder="1" applyAlignment="1">
      <alignment horizontal="left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31750</xdr:colOff>
          <xdr:row>0</xdr:row>
          <xdr:rowOff>0</xdr:rowOff>
        </xdr:from>
        <xdr:to>
          <xdr:col>25</xdr:col>
          <xdr:colOff>19050</xdr:colOff>
          <xdr:row>1</xdr:row>
          <xdr:rowOff>184150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15"/>
  <sheetViews>
    <sheetView tabSelected="1" zoomScale="160" zoomScaleNormal="160" workbookViewId="0">
      <selection activeCell="Z11" sqref="Z11"/>
    </sheetView>
  </sheetViews>
  <sheetFormatPr defaultColWidth="9.1796875" defaultRowHeight="14.5" x14ac:dyDescent="0.35"/>
  <cols>
    <col min="1" max="1" width="5.1796875" style="2" customWidth="1"/>
    <col min="2" max="2" width="8.453125" style="2" customWidth="1"/>
    <col min="3" max="3" width="3.453125" style="9" bestFit="1" customWidth="1"/>
    <col min="4" max="4" width="3.26953125" style="9" bestFit="1" customWidth="1"/>
    <col min="5" max="5" width="9" style="9" bestFit="1" customWidth="1"/>
    <col min="6" max="6" width="21.54296875" style="2" hidden="1" customWidth="1"/>
    <col min="7" max="7" width="9" style="2" hidden="1" customWidth="1"/>
    <col min="8" max="8" width="9" style="9" hidden="1" customWidth="1"/>
    <col min="9" max="10" width="5.81640625" style="2" hidden="1" customWidth="1"/>
    <col min="11" max="11" width="13.1796875" style="12" hidden="1" customWidth="1"/>
    <col min="12" max="12" width="9.54296875" style="5" hidden="1" customWidth="1"/>
    <col min="13" max="13" width="9" style="5" bestFit="1" customWidth="1"/>
    <col min="14" max="14" width="9" style="2" bestFit="1" customWidth="1"/>
    <col min="15" max="15" width="45.1796875" style="2" hidden="1" customWidth="1"/>
    <col min="16" max="16" width="13.54296875" style="2" hidden="1" customWidth="1"/>
    <col min="17" max="17" width="15.453125" style="5" hidden="1" customWidth="1"/>
    <col min="18" max="18" width="15.453125" style="7" hidden="1" customWidth="1"/>
    <col min="19" max="19" width="15.453125" style="2" hidden="1" customWidth="1"/>
    <col min="20" max="20" width="9" style="2" hidden="1" customWidth="1"/>
    <col min="21" max="21" width="14.81640625" style="9" bestFit="1" customWidth="1"/>
    <col min="22" max="22" width="15.26953125" style="2" hidden="1" customWidth="1"/>
    <col min="23" max="23" width="15.26953125" style="2" bestFit="1" customWidth="1"/>
    <col min="24" max="26" width="9.1796875" style="2"/>
    <col min="27" max="27" width="14.7265625" style="2" customWidth="1"/>
    <col min="28" max="16384" width="9.1796875" style="2"/>
  </cols>
  <sheetData>
    <row r="1" spans="1:27" x14ac:dyDescent="0.35">
      <c r="A1" s="1" t="s">
        <v>121</v>
      </c>
      <c r="B1" s="1" t="s">
        <v>13</v>
      </c>
      <c r="C1" s="8" t="s">
        <v>113</v>
      </c>
      <c r="D1" s="8" t="s">
        <v>114</v>
      </c>
      <c r="E1" s="8" t="s">
        <v>117</v>
      </c>
      <c r="F1" s="1" t="s">
        <v>12</v>
      </c>
      <c r="G1" s="1" t="s">
        <v>13</v>
      </c>
      <c r="H1" s="8" t="s">
        <v>118</v>
      </c>
      <c r="I1" s="1" t="s">
        <v>118</v>
      </c>
      <c r="J1" s="1" t="s">
        <v>118</v>
      </c>
      <c r="K1" s="6" t="s">
        <v>139</v>
      </c>
      <c r="L1" s="4" t="s">
        <v>140</v>
      </c>
      <c r="M1" s="4" t="s">
        <v>119</v>
      </c>
      <c r="N1" s="1" t="s">
        <v>120</v>
      </c>
      <c r="O1" s="1" t="s">
        <v>19</v>
      </c>
      <c r="P1" s="1" t="s">
        <v>70</v>
      </c>
      <c r="U1" s="8" t="s">
        <v>143</v>
      </c>
      <c r="V1" s="1" t="s">
        <v>144</v>
      </c>
      <c r="W1" s="33" t="s">
        <v>144</v>
      </c>
    </row>
    <row r="2" spans="1:27" x14ac:dyDescent="0.35">
      <c r="A2" s="1">
        <v>0</v>
      </c>
      <c r="B2" s="1" t="s">
        <v>34</v>
      </c>
      <c r="C2" s="8"/>
      <c r="D2" s="8" t="s">
        <v>8</v>
      </c>
      <c r="E2" s="8" t="s">
        <v>148</v>
      </c>
      <c r="F2" s="3" t="s">
        <v>0</v>
      </c>
      <c r="G2" s="3">
        <v>1000</v>
      </c>
      <c r="H2" s="3" t="str">
        <f>VLOOKUP(B2,$F$2:$G$39,2,FALSE)</f>
        <v>0010</v>
      </c>
      <c r="I2" s="3" t="str">
        <f>IF(ISERROR(VLOOKUP(C2,F:G,2,FALSE)),"00",(VLOOKUP(C2,F:G,2,FALSE)))</f>
        <v>00</v>
      </c>
      <c r="J2" s="3" t="str">
        <f>IF(ISERROR(VLOOKUP(D2,F:G,2,FALSE)),"00",(VLOOKUP(D2,F:G,2,FALSE)))</f>
        <v>00</v>
      </c>
      <c r="K2" s="11" t="str">
        <f>CONCATENATE(H2,I2,J2)</f>
        <v>00100000</v>
      </c>
      <c r="L2" s="14" t="str">
        <f>IF(LEN(K2)&gt;8,H2,K2)</f>
        <v>00100000</v>
      </c>
      <c r="M2" s="17" t="str">
        <f>IF(ISERROR(VLOOKUP(L2,L:L,1,FALSE)),"",(VLOOKUP(L2,L:L,1,FALSE)))</f>
        <v>00100000</v>
      </c>
      <c r="N2" s="18" t="str">
        <f>IF(ISERROR(VLOOKUP(E2,E:E,1,FALSE)),"",(VLOOKUP(E2,E:E,1,FALSE)))</f>
        <v>00000101</v>
      </c>
      <c r="O2" s="3" t="s">
        <v>22</v>
      </c>
      <c r="P2" s="3" t="s">
        <v>21</v>
      </c>
      <c r="T2" s="2" t="s">
        <v>153</v>
      </c>
      <c r="U2" s="19" t="s">
        <v>153</v>
      </c>
      <c r="V2" s="3" t="s">
        <v>142</v>
      </c>
      <c r="W2" s="34" t="s">
        <v>142</v>
      </c>
      <c r="AA2" s="35"/>
    </row>
    <row r="3" spans="1:27" x14ac:dyDescent="0.35">
      <c r="A3" s="1">
        <v>1</v>
      </c>
      <c r="B3" s="1" t="s">
        <v>34</v>
      </c>
      <c r="C3" s="8"/>
      <c r="D3" s="8" t="s">
        <v>9</v>
      </c>
      <c r="E3" s="8" t="s">
        <v>148</v>
      </c>
      <c r="F3" s="3" t="s">
        <v>2</v>
      </c>
      <c r="G3" s="3">
        <v>1001</v>
      </c>
      <c r="H3" s="3" t="str">
        <f t="shared" ref="H3:H66" si="0">VLOOKUP(B3,$F$2:$G$39,2,FALSE)</f>
        <v>0010</v>
      </c>
      <c r="I3" s="3" t="str">
        <f t="shared" ref="I3:I66" si="1">IF(ISERROR(VLOOKUP(C3,F:G,2,FALSE)),"00",(VLOOKUP(C3,F:G,2,FALSE)))</f>
        <v>00</v>
      </c>
      <c r="J3" s="3" t="str">
        <f t="shared" ref="J3:J66" si="2">IF(ISERROR(VLOOKUP(D3,F:G,2,FALSE)),"00",(VLOOKUP(D3,F:G,2,FALSE)))</f>
        <v>01</v>
      </c>
      <c r="K3" s="11" t="str">
        <f t="shared" ref="K3:K67" si="3">CONCATENATE(H3,I3,J3)</f>
        <v>00100001</v>
      </c>
      <c r="L3" s="14" t="str">
        <f t="shared" ref="L3:L66" si="4">IF(LEN(K3)&gt;8,H3,K3)</f>
        <v>00100001</v>
      </c>
      <c r="M3" s="17" t="str">
        <f t="shared" ref="M3:M66" si="5">IF(ISERROR(VLOOKUP(L3,L:L,1,FALSE)),"",(VLOOKUP(L3,L:L,1,FALSE)))</f>
        <v>00100001</v>
      </c>
      <c r="N3" s="18" t="str">
        <f t="shared" ref="N3:N66" si="6">IF(ISERROR(VLOOKUP(E3,E:E,1,FALSE)),"",(VLOOKUP(E3,E:E,1,FALSE)))</f>
        <v>00000101</v>
      </c>
      <c r="O3" s="3" t="s">
        <v>26</v>
      </c>
      <c r="P3" s="3" t="s">
        <v>71</v>
      </c>
      <c r="T3" s="2" t="s">
        <v>148</v>
      </c>
      <c r="U3" s="19" t="s">
        <v>148</v>
      </c>
      <c r="V3" s="3" t="str">
        <f>IF(ISERROR(VLOOKUP(U2,U:U,1,FALSE)),"",(VLOOKUP(U2,U:U,1,FALSE)))</f>
        <v>00100000</v>
      </c>
      <c r="W3" s="34" t="str">
        <f>BIN2HEX(V3)</f>
        <v>20</v>
      </c>
      <c r="AA3" s="35"/>
    </row>
    <row r="4" spans="1:27" x14ac:dyDescent="0.35">
      <c r="A4" s="1">
        <v>2</v>
      </c>
      <c r="B4" s="15" t="s">
        <v>34</v>
      </c>
      <c r="C4" s="16"/>
      <c r="D4" s="16" t="s">
        <v>11</v>
      </c>
      <c r="E4" s="16" t="s">
        <v>147</v>
      </c>
      <c r="F4" s="3" t="s">
        <v>1</v>
      </c>
      <c r="G4" s="3">
        <v>1010</v>
      </c>
      <c r="H4" s="3" t="str">
        <f t="shared" si="0"/>
        <v>0010</v>
      </c>
      <c r="I4" s="3" t="str">
        <f t="shared" si="1"/>
        <v>00</v>
      </c>
      <c r="J4" s="3" t="str">
        <f t="shared" si="2"/>
        <v>11</v>
      </c>
      <c r="K4" s="11" t="str">
        <f t="shared" si="3"/>
        <v>00100011</v>
      </c>
      <c r="L4" s="14" t="str">
        <f t="shared" si="4"/>
        <v>00100011</v>
      </c>
      <c r="M4" s="17" t="str">
        <f t="shared" si="5"/>
        <v>00100011</v>
      </c>
      <c r="N4" s="18" t="str">
        <f t="shared" si="6"/>
        <v>00000001</v>
      </c>
      <c r="O4" s="3" t="s">
        <v>25</v>
      </c>
      <c r="P4" s="3" t="s">
        <v>72</v>
      </c>
      <c r="T4" s="2" t="s">
        <v>154</v>
      </c>
      <c r="U4" s="19" t="s">
        <v>154</v>
      </c>
      <c r="V4" s="3" t="str">
        <f t="shared" ref="V4:V67" si="7">IF(ISERROR(VLOOKUP(U3,U:U,1,FALSE)),"",(VLOOKUP(U3,U:U,1,FALSE)))</f>
        <v>00000101</v>
      </c>
      <c r="W4" s="34" t="str">
        <f t="shared" ref="W4:W67" si="8">BIN2HEX(V4)</f>
        <v>5</v>
      </c>
      <c r="AA4" s="35"/>
    </row>
    <row r="5" spans="1:27" x14ac:dyDescent="0.35">
      <c r="A5" s="1">
        <v>3</v>
      </c>
      <c r="B5" s="15" t="s">
        <v>6</v>
      </c>
      <c r="C5" s="16" t="s">
        <v>10</v>
      </c>
      <c r="D5" s="16" t="s">
        <v>10</v>
      </c>
      <c r="E5" s="16"/>
      <c r="F5" s="3" t="s">
        <v>3</v>
      </c>
      <c r="G5" s="3">
        <v>1011</v>
      </c>
      <c r="H5" s="3">
        <f t="shared" si="0"/>
        <v>1110</v>
      </c>
      <c r="I5" s="3" t="str">
        <f t="shared" si="1"/>
        <v>10</v>
      </c>
      <c r="J5" s="3" t="str">
        <f t="shared" si="2"/>
        <v>10</v>
      </c>
      <c r="K5" s="11" t="str">
        <f t="shared" si="3"/>
        <v>11101010</v>
      </c>
      <c r="L5" s="14" t="str">
        <f t="shared" si="4"/>
        <v>11101010</v>
      </c>
      <c r="M5" s="17" t="str">
        <f t="shared" si="5"/>
        <v>11101010</v>
      </c>
      <c r="N5" s="18" t="str">
        <f t="shared" si="6"/>
        <v/>
      </c>
      <c r="O5" s="3" t="s">
        <v>24</v>
      </c>
      <c r="P5" s="3" t="s">
        <v>73</v>
      </c>
      <c r="T5" s="2" t="s">
        <v>148</v>
      </c>
      <c r="U5" s="19" t="s">
        <v>148</v>
      </c>
      <c r="V5" s="3" t="str">
        <f t="shared" si="7"/>
        <v>00100001</v>
      </c>
      <c r="W5" s="34" t="str">
        <f t="shared" si="8"/>
        <v>21</v>
      </c>
      <c r="AA5" s="35"/>
    </row>
    <row r="6" spans="1:27" x14ac:dyDescent="0.35">
      <c r="A6" s="1">
        <v>4</v>
      </c>
      <c r="B6" s="15" t="s">
        <v>68</v>
      </c>
      <c r="C6" s="16"/>
      <c r="D6" s="16"/>
      <c r="E6" s="16"/>
      <c r="F6" s="3" t="s">
        <v>4</v>
      </c>
      <c r="G6" s="3">
        <v>1100</v>
      </c>
      <c r="H6" s="3" t="str">
        <f t="shared" si="0"/>
        <v>01100000</v>
      </c>
      <c r="I6" s="3" t="str">
        <f t="shared" si="1"/>
        <v>00</v>
      </c>
      <c r="J6" s="3" t="str">
        <f t="shared" si="2"/>
        <v>00</v>
      </c>
      <c r="K6" s="11" t="str">
        <f t="shared" si="3"/>
        <v>011000000000</v>
      </c>
      <c r="L6" s="14" t="str">
        <f t="shared" si="4"/>
        <v>01100000</v>
      </c>
      <c r="M6" s="17" t="str">
        <f t="shared" si="5"/>
        <v>01100000</v>
      </c>
      <c r="N6" s="18" t="str">
        <f t="shared" si="6"/>
        <v/>
      </c>
      <c r="O6" s="3" t="s">
        <v>23</v>
      </c>
      <c r="P6" s="3" t="s">
        <v>74</v>
      </c>
      <c r="T6" s="2" t="s">
        <v>152</v>
      </c>
      <c r="U6" s="19" t="s">
        <v>152</v>
      </c>
      <c r="V6" s="3" t="str">
        <f t="shared" si="7"/>
        <v>00000101</v>
      </c>
      <c r="W6" s="34" t="str">
        <f t="shared" si="8"/>
        <v>5</v>
      </c>
      <c r="AA6" s="35"/>
    </row>
    <row r="7" spans="1:27" x14ac:dyDescent="0.35">
      <c r="A7" s="1">
        <v>5</v>
      </c>
      <c r="B7" s="15" t="s">
        <v>2</v>
      </c>
      <c r="C7" s="16" t="s">
        <v>8</v>
      </c>
      <c r="D7" s="16" t="s">
        <v>8</v>
      </c>
      <c r="E7" s="16"/>
      <c r="F7" s="3" t="s">
        <v>5</v>
      </c>
      <c r="G7" s="3">
        <v>1101</v>
      </c>
      <c r="H7" s="3">
        <f t="shared" si="0"/>
        <v>1001</v>
      </c>
      <c r="I7" s="3" t="str">
        <f t="shared" si="1"/>
        <v>00</v>
      </c>
      <c r="J7" s="3" t="str">
        <f t="shared" si="2"/>
        <v>00</v>
      </c>
      <c r="K7" s="11" t="str">
        <f t="shared" si="3"/>
        <v>10010000</v>
      </c>
      <c r="L7" s="14" t="str">
        <f t="shared" si="4"/>
        <v>10010000</v>
      </c>
      <c r="M7" s="17" t="str">
        <f t="shared" si="5"/>
        <v>10010000</v>
      </c>
      <c r="N7" s="18" t="str">
        <f t="shared" si="6"/>
        <v/>
      </c>
      <c r="O7" s="3" t="s">
        <v>27</v>
      </c>
      <c r="P7" s="3" t="s">
        <v>75</v>
      </c>
      <c r="T7" s="2" t="s">
        <v>147</v>
      </c>
      <c r="U7" s="19" t="s">
        <v>147</v>
      </c>
      <c r="V7" s="3" t="str">
        <f t="shared" si="7"/>
        <v>00100011</v>
      </c>
      <c r="W7" s="34" t="str">
        <f t="shared" si="8"/>
        <v>23</v>
      </c>
      <c r="AA7" s="35"/>
    </row>
    <row r="8" spans="1:27" x14ac:dyDescent="0.35">
      <c r="A8" s="1">
        <v>6</v>
      </c>
      <c r="B8" s="15" t="s">
        <v>47</v>
      </c>
      <c r="C8" s="16"/>
      <c r="D8" s="16"/>
      <c r="E8" s="16" t="s">
        <v>163</v>
      </c>
      <c r="F8" s="3" t="s">
        <v>6</v>
      </c>
      <c r="G8" s="3">
        <v>1110</v>
      </c>
      <c r="H8" s="3" t="str">
        <f t="shared" si="0"/>
        <v>01011000</v>
      </c>
      <c r="I8" s="3" t="str">
        <f t="shared" si="1"/>
        <v>00</v>
      </c>
      <c r="J8" s="3" t="str">
        <f t="shared" si="2"/>
        <v>00</v>
      </c>
      <c r="K8" s="11" t="str">
        <f t="shared" si="3"/>
        <v>010110000000</v>
      </c>
      <c r="L8" s="14" t="str">
        <f t="shared" si="4"/>
        <v>01011000</v>
      </c>
      <c r="M8" s="17" t="str">
        <f t="shared" si="5"/>
        <v>01011000</v>
      </c>
      <c r="N8" s="18" t="str">
        <f t="shared" si="6"/>
        <v>00001101</v>
      </c>
      <c r="O8" s="3" t="s">
        <v>28</v>
      </c>
      <c r="P8" s="3" t="s">
        <v>76</v>
      </c>
      <c r="T8" s="2" t="s">
        <v>158</v>
      </c>
      <c r="U8" s="19" t="s">
        <v>158</v>
      </c>
      <c r="V8" s="3" t="str">
        <f t="shared" si="7"/>
        <v>00000001</v>
      </c>
      <c r="W8" s="34" t="str">
        <f t="shared" si="8"/>
        <v>1</v>
      </c>
      <c r="AA8" s="35"/>
    </row>
    <row r="9" spans="1:27" x14ac:dyDescent="0.35">
      <c r="A9" s="1">
        <v>7</v>
      </c>
      <c r="B9" s="15" t="s">
        <v>38</v>
      </c>
      <c r="C9" s="16"/>
      <c r="D9" s="16"/>
      <c r="E9" s="16" t="s">
        <v>150</v>
      </c>
      <c r="F9" s="3" t="s">
        <v>7</v>
      </c>
      <c r="G9" s="3">
        <v>1111</v>
      </c>
      <c r="H9" s="3" t="str">
        <f t="shared" si="0"/>
        <v>0100</v>
      </c>
      <c r="I9" s="3" t="str">
        <f t="shared" si="1"/>
        <v>00</v>
      </c>
      <c r="J9" s="3" t="str">
        <f t="shared" si="2"/>
        <v>00</v>
      </c>
      <c r="K9" s="11" t="str">
        <f t="shared" si="3"/>
        <v>01000000</v>
      </c>
      <c r="L9" s="14" t="str">
        <f t="shared" si="4"/>
        <v>01000000</v>
      </c>
      <c r="M9" s="17" t="str">
        <f t="shared" si="5"/>
        <v>01000000</v>
      </c>
      <c r="N9" s="18" t="str">
        <f t="shared" si="6"/>
        <v>00001111</v>
      </c>
      <c r="O9" s="3" t="s">
        <v>29</v>
      </c>
      <c r="P9" s="3" t="s">
        <v>77</v>
      </c>
      <c r="T9" s="2" t="s">
        <v>141</v>
      </c>
      <c r="U9" s="19" t="s">
        <v>97</v>
      </c>
      <c r="V9" s="3" t="str">
        <f t="shared" si="7"/>
        <v>11101010</v>
      </c>
      <c r="W9" s="34" t="str">
        <f t="shared" si="8"/>
        <v>EA</v>
      </c>
      <c r="AA9" s="35"/>
    </row>
    <row r="10" spans="1:27" x14ac:dyDescent="0.35">
      <c r="A10" s="1">
        <v>8</v>
      </c>
      <c r="B10" s="15" t="s">
        <v>68</v>
      </c>
      <c r="C10" s="16"/>
      <c r="D10" s="16"/>
      <c r="E10" s="16"/>
      <c r="F10" s="3" t="s">
        <v>14</v>
      </c>
      <c r="G10" s="3" t="s">
        <v>15</v>
      </c>
      <c r="H10" s="3" t="str">
        <f t="shared" si="0"/>
        <v>01100000</v>
      </c>
      <c r="I10" s="3" t="str">
        <f t="shared" si="1"/>
        <v>00</v>
      </c>
      <c r="J10" s="3" t="str">
        <f t="shared" si="2"/>
        <v>00</v>
      </c>
      <c r="K10" s="11" t="str">
        <f t="shared" si="3"/>
        <v>011000000000</v>
      </c>
      <c r="L10" s="14" t="str">
        <f t="shared" si="4"/>
        <v>01100000</v>
      </c>
      <c r="M10" s="17" t="str">
        <f t="shared" si="5"/>
        <v>01100000</v>
      </c>
      <c r="N10" s="18" t="str">
        <f t="shared" si="6"/>
        <v/>
      </c>
      <c r="O10" s="3" t="s">
        <v>18</v>
      </c>
      <c r="P10" s="3" t="s">
        <v>78</v>
      </c>
      <c r="T10" s="2" t="s">
        <v>97</v>
      </c>
      <c r="U10" s="19" t="s">
        <v>159</v>
      </c>
      <c r="V10" s="3" t="str">
        <f t="shared" si="7"/>
        <v>01100000</v>
      </c>
      <c r="W10" s="34" t="str">
        <f t="shared" si="8"/>
        <v>60</v>
      </c>
      <c r="AA10" s="35"/>
    </row>
    <row r="11" spans="1:27" x14ac:dyDescent="0.35">
      <c r="A11" s="1">
        <v>9</v>
      </c>
      <c r="B11" s="15" t="s">
        <v>0</v>
      </c>
      <c r="C11" s="16" t="s">
        <v>9</v>
      </c>
      <c r="D11" s="16" t="s">
        <v>10</v>
      </c>
      <c r="E11" s="16"/>
      <c r="F11" s="3" t="s">
        <v>17</v>
      </c>
      <c r="G11" s="3" t="s">
        <v>16</v>
      </c>
      <c r="H11" s="3">
        <f t="shared" si="0"/>
        <v>1000</v>
      </c>
      <c r="I11" s="3" t="str">
        <f t="shared" si="1"/>
        <v>01</v>
      </c>
      <c r="J11" s="3" t="str">
        <f t="shared" si="2"/>
        <v>10</v>
      </c>
      <c r="K11" s="11" t="str">
        <f t="shared" si="3"/>
        <v>10000110</v>
      </c>
      <c r="L11" s="14" t="str">
        <f>IF(LEN(K11)&gt;8,H11,K11)</f>
        <v>10000110</v>
      </c>
      <c r="M11" s="17" t="str">
        <f t="shared" si="5"/>
        <v>10000110</v>
      </c>
      <c r="N11" s="18" t="str">
        <f t="shared" si="6"/>
        <v/>
      </c>
      <c r="O11" s="3" t="s">
        <v>20</v>
      </c>
      <c r="P11" s="3" t="s">
        <v>79</v>
      </c>
      <c r="T11" s="2" t="s">
        <v>141</v>
      </c>
      <c r="U11" s="19" t="s">
        <v>48</v>
      </c>
      <c r="V11" s="3" t="str">
        <f t="shared" si="7"/>
        <v>10010000</v>
      </c>
      <c r="W11" s="34" t="str">
        <f t="shared" si="8"/>
        <v>90</v>
      </c>
      <c r="AA11" s="35"/>
    </row>
    <row r="12" spans="1:27" x14ac:dyDescent="0.35">
      <c r="A12" s="1">
        <v>10</v>
      </c>
      <c r="B12" s="15" t="s">
        <v>68</v>
      </c>
      <c r="C12" s="16"/>
      <c r="D12" s="16"/>
      <c r="E12" s="16"/>
      <c r="F12" s="3" t="s">
        <v>34</v>
      </c>
      <c r="G12" s="13" t="s">
        <v>112</v>
      </c>
      <c r="H12" s="3" t="str">
        <f t="shared" si="0"/>
        <v>01100000</v>
      </c>
      <c r="I12" s="3" t="str">
        <f t="shared" si="1"/>
        <v>00</v>
      </c>
      <c r="J12" s="3" t="str">
        <f t="shared" si="2"/>
        <v>00</v>
      </c>
      <c r="K12" s="11" t="str">
        <f t="shared" si="3"/>
        <v>011000000000</v>
      </c>
      <c r="L12" s="14" t="str">
        <f t="shared" si="4"/>
        <v>01100000</v>
      </c>
      <c r="M12" s="17" t="str">
        <f t="shared" si="5"/>
        <v>01100000</v>
      </c>
      <c r="N12" s="18" t="str">
        <f t="shared" si="6"/>
        <v/>
      </c>
      <c r="O12" s="3" t="s">
        <v>35</v>
      </c>
      <c r="P12" s="3" t="s">
        <v>81</v>
      </c>
      <c r="T12" s="2" t="s">
        <v>159</v>
      </c>
      <c r="U12" s="19" t="s">
        <v>163</v>
      </c>
      <c r="V12" s="3" t="str">
        <f t="shared" si="7"/>
        <v>01011000</v>
      </c>
      <c r="W12" s="34" t="str">
        <f t="shared" si="8"/>
        <v>58</v>
      </c>
      <c r="AA12" s="35"/>
    </row>
    <row r="13" spans="1:27" x14ac:dyDescent="0.35">
      <c r="A13" s="1">
        <v>11</v>
      </c>
      <c r="B13" s="15" t="s">
        <v>1</v>
      </c>
      <c r="C13" s="16" t="s">
        <v>9</v>
      </c>
      <c r="D13" s="16" t="s">
        <v>9</v>
      </c>
      <c r="E13" s="16"/>
      <c r="F13" s="3" t="s">
        <v>36</v>
      </c>
      <c r="G13" s="3">
        <v>1100</v>
      </c>
      <c r="H13" s="3">
        <f t="shared" si="0"/>
        <v>1010</v>
      </c>
      <c r="I13" s="3" t="str">
        <f t="shared" si="1"/>
        <v>01</v>
      </c>
      <c r="J13" s="3" t="str">
        <f t="shared" si="2"/>
        <v>01</v>
      </c>
      <c r="K13" s="11" t="str">
        <f t="shared" si="3"/>
        <v>10100101</v>
      </c>
      <c r="L13" s="14" t="str">
        <f t="shared" si="4"/>
        <v>10100101</v>
      </c>
      <c r="M13" s="17" t="str">
        <f t="shared" si="5"/>
        <v>10100101</v>
      </c>
      <c r="N13" s="18" t="str">
        <f t="shared" si="6"/>
        <v/>
      </c>
      <c r="O13" s="3" t="s">
        <v>37</v>
      </c>
      <c r="P13" s="3" t="s">
        <v>80</v>
      </c>
      <c r="T13" s="2" t="s">
        <v>141</v>
      </c>
      <c r="U13" s="19" t="s">
        <v>157</v>
      </c>
      <c r="V13" s="3" t="str">
        <f t="shared" si="7"/>
        <v>00001101</v>
      </c>
      <c r="W13" s="34" t="str">
        <f t="shared" si="8"/>
        <v>D</v>
      </c>
      <c r="AA13" s="35"/>
    </row>
    <row r="14" spans="1:27" x14ac:dyDescent="0.35">
      <c r="A14" s="1">
        <v>12</v>
      </c>
      <c r="B14" s="15" t="s">
        <v>1</v>
      </c>
      <c r="C14" s="16" t="s">
        <v>11</v>
      </c>
      <c r="D14" s="16" t="s">
        <v>11</v>
      </c>
      <c r="E14" s="16"/>
      <c r="F14" s="3" t="s">
        <v>38</v>
      </c>
      <c r="G14" s="13" t="s">
        <v>156</v>
      </c>
      <c r="H14" s="3">
        <f t="shared" si="0"/>
        <v>1010</v>
      </c>
      <c r="I14" s="3" t="str">
        <f t="shared" si="1"/>
        <v>11</v>
      </c>
      <c r="J14" s="3" t="str">
        <f t="shared" si="2"/>
        <v>11</v>
      </c>
      <c r="K14" s="11" t="str">
        <f t="shared" si="3"/>
        <v>10101111</v>
      </c>
      <c r="L14" s="14" t="str">
        <f t="shared" si="4"/>
        <v>10101111</v>
      </c>
      <c r="M14" s="17" t="str">
        <f t="shared" si="5"/>
        <v>10101111</v>
      </c>
      <c r="N14" s="18" t="str">
        <f t="shared" si="6"/>
        <v/>
      </c>
      <c r="O14" s="3" t="s">
        <v>39</v>
      </c>
      <c r="P14" s="3" t="s">
        <v>82</v>
      </c>
      <c r="T14" s="2" t="s">
        <v>48</v>
      </c>
      <c r="U14" s="19" t="s">
        <v>150</v>
      </c>
      <c r="V14" s="3" t="str">
        <f t="shared" si="7"/>
        <v>01000000</v>
      </c>
      <c r="W14" s="34" t="str">
        <f t="shared" si="8"/>
        <v>40</v>
      </c>
      <c r="AA14" s="35"/>
    </row>
    <row r="15" spans="1:27" x14ac:dyDescent="0.35">
      <c r="A15" s="1">
        <v>13</v>
      </c>
      <c r="B15" s="15" t="s">
        <v>47</v>
      </c>
      <c r="C15" s="16"/>
      <c r="D15" s="16"/>
      <c r="E15" s="16" t="s">
        <v>164</v>
      </c>
      <c r="F15" s="3" t="s">
        <v>40</v>
      </c>
      <c r="G15" s="13" t="s">
        <v>138</v>
      </c>
      <c r="H15" s="3" t="str">
        <f t="shared" si="0"/>
        <v>01011000</v>
      </c>
      <c r="I15" s="3" t="str">
        <f t="shared" si="1"/>
        <v>00</v>
      </c>
      <c r="J15" s="3" t="str">
        <f t="shared" si="2"/>
        <v>00</v>
      </c>
      <c r="K15" s="11" t="str">
        <f t="shared" si="3"/>
        <v>010110000000</v>
      </c>
      <c r="L15" s="14" t="str">
        <f t="shared" si="4"/>
        <v>01011000</v>
      </c>
      <c r="M15" s="17" t="str">
        <f t="shared" si="5"/>
        <v>01011000</v>
      </c>
      <c r="N15" s="18" t="str">
        <f t="shared" si="6"/>
        <v>00010110</v>
      </c>
      <c r="O15" s="3" t="s">
        <v>41</v>
      </c>
      <c r="P15" s="3" t="s">
        <v>83</v>
      </c>
      <c r="T15" s="2" t="s">
        <v>163</v>
      </c>
      <c r="U15" s="19" t="s">
        <v>97</v>
      </c>
      <c r="V15" s="3" t="str">
        <f t="shared" si="7"/>
        <v>00001111</v>
      </c>
      <c r="W15" s="34" t="str">
        <f t="shared" si="8"/>
        <v>F</v>
      </c>
      <c r="AA15" s="35"/>
    </row>
    <row r="16" spans="1:27" x14ac:dyDescent="0.35">
      <c r="A16" s="1">
        <v>14</v>
      </c>
      <c r="B16" s="15" t="s">
        <v>38</v>
      </c>
      <c r="C16" s="16"/>
      <c r="D16" s="16"/>
      <c r="E16" s="16" t="s">
        <v>155</v>
      </c>
      <c r="F16" s="3" t="s">
        <v>43</v>
      </c>
      <c r="G16" s="3" t="s">
        <v>42</v>
      </c>
      <c r="H16" s="3" t="str">
        <f t="shared" si="0"/>
        <v>0100</v>
      </c>
      <c r="I16" s="3" t="str">
        <f t="shared" si="1"/>
        <v>00</v>
      </c>
      <c r="J16" s="3" t="str">
        <f t="shared" si="2"/>
        <v>00</v>
      </c>
      <c r="K16" s="11" t="str">
        <f t="shared" si="3"/>
        <v>01000000</v>
      </c>
      <c r="L16" s="14" t="str">
        <f t="shared" si="4"/>
        <v>01000000</v>
      </c>
      <c r="M16" s="17" t="str">
        <f t="shared" si="5"/>
        <v>01000000</v>
      </c>
      <c r="N16" s="18" t="str">
        <f t="shared" si="6"/>
        <v>00000111</v>
      </c>
      <c r="O16" s="3" t="s">
        <v>44</v>
      </c>
      <c r="P16" s="3" t="s">
        <v>84</v>
      </c>
      <c r="T16" s="2" t="s">
        <v>157</v>
      </c>
      <c r="U16" s="19" t="s">
        <v>160</v>
      </c>
      <c r="V16" s="3" t="str">
        <f t="shared" si="7"/>
        <v>01100000</v>
      </c>
      <c r="W16" s="34" t="str">
        <f t="shared" si="8"/>
        <v>60</v>
      </c>
      <c r="AA16" s="35"/>
    </row>
    <row r="17" spans="1:27" x14ac:dyDescent="0.35">
      <c r="A17" s="1">
        <v>15</v>
      </c>
      <c r="B17" s="15" t="s">
        <v>145</v>
      </c>
      <c r="C17" s="16"/>
      <c r="D17" s="16"/>
      <c r="E17" s="16"/>
      <c r="F17" s="3" t="s">
        <v>45</v>
      </c>
      <c r="G17" s="3" t="s">
        <v>46</v>
      </c>
      <c r="H17" s="3">
        <f t="shared" si="0"/>
        <v>11001111</v>
      </c>
      <c r="I17" s="3" t="str">
        <f t="shared" si="1"/>
        <v>00</v>
      </c>
      <c r="J17" s="3" t="str">
        <f t="shared" si="2"/>
        <v>00</v>
      </c>
      <c r="K17" s="11" t="str">
        <f t="shared" si="3"/>
        <v>110011110000</v>
      </c>
      <c r="L17" s="14">
        <f t="shared" si="4"/>
        <v>11001111</v>
      </c>
      <c r="M17" s="17">
        <f t="shared" si="5"/>
        <v>11001111</v>
      </c>
      <c r="N17" s="18" t="str">
        <f t="shared" si="6"/>
        <v/>
      </c>
      <c r="O17" s="3" t="s">
        <v>67</v>
      </c>
      <c r="P17" s="3" t="s">
        <v>85</v>
      </c>
      <c r="T17" s="2" t="s">
        <v>150</v>
      </c>
      <c r="U17" s="19" t="s">
        <v>97</v>
      </c>
      <c r="V17" s="3" t="str">
        <f t="shared" si="7"/>
        <v>10000110</v>
      </c>
      <c r="W17" s="34" t="str">
        <f t="shared" si="8"/>
        <v>86</v>
      </c>
      <c r="AA17" s="35"/>
    </row>
    <row r="18" spans="1:27" x14ac:dyDescent="0.35">
      <c r="A18" s="1">
        <v>16</v>
      </c>
      <c r="B18" s="15"/>
      <c r="C18" s="16"/>
      <c r="D18" s="16"/>
      <c r="E18" s="16"/>
      <c r="F18" s="3" t="s">
        <v>47</v>
      </c>
      <c r="G18" s="3" t="s">
        <v>48</v>
      </c>
      <c r="H18" s="3" t="e">
        <f t="shared" si="0"/>
        <v>#N/A</v>
      </c>
      <c r="I18" s="3" t="str">
        <f t="shared" si="1"/>
        <v>00</v>
      </c>
      <c r="J18" s="3" t="str">
        <f t="shared" si="2"/>
        <v>00</v>
      </c>
      <c r="K18" s="11" t="e">
        <f t="shared" si="3"/>
        <v>#N/A</v>
      </c>
      <c r="L18" s="14" t="e">
        <f t="shared" si="4"/>
        <v>#N/A</v>
      </c>
      <c r="M18" s="17" t="str">
        <f t="shared" si="5"/>
        <v/>
      </c>
      <c r="N18" s="18" t="str">
        <f t="shared" si="6"/>
        <v/>
      </c>
      <c r="O18" s="3" t="s">
        <v>49</v>
      </c>
      <c r="P18" s="3" t="s">
        <v>86</v>
      </c>
      <c r="T18" s="2" t="s">
        <v>97</v>
      </c>
      <c r="U18" s="19" t="s">
        <v>161</v>
      </c>
      <c r="V18" s="3" t="str">
        <f t="shared" si="7"/>
        <v>01100000</v>
      </c>
      <c r="W18" s="34" t="str">
        <f t="shared" si="8"/>
        <v>60</v>
      </c>
      <c r="AA18" s="35"/>
    </row>
    <row r="19" spans="1:27" x14ac:dyDescent="0.35">
      <c r="A19" s="1">
        <v>17</v>
      </c>
      <c r="B19" s="15"/>
      <c r="C19" s="16"/>
      <c r="D19" s="16"/>
      <c r="E19" s="16"/>
      <c r="F19" s="3" t="s">
        <v>50</v>
      </c>
      <c r="G19" s="13" t="s">
        <v>127</v>
      </c>
      <c r="H19" s="3" t="e">
        <f t="shared" si="0"/>
        <v>#N/A</v>
      </c>
      <c r="I19" s="3" t="str">
        <f t="shared" si="1"/>
        <v>00</v>
      </c>
      <c r="J19" s="3" t="str">
        <f t="shared" si="2"/>
        <v>00</v>
      </c>
      <c r="K19" s="11" t="e">
        <f t="shared" si="3"/>
        <v>#N/A</v>
      </c>
      <c r="L19" s="14" t="e">
        <f t="shared" si="4"/>
        <v>#N/A</v>
      </c>
      <c r="M19" s="17" t="str">
        <f t="shared" si="5"/>
        <v/>
      </c>
      <c r="N19" s="18" t="str">
        <f t="shared" si="6"/>
        <v/>
      </c>
      <c r="O19" s="3" t="s">
        <v>60</v>
      </c>
      <c r="P19" s="3" t="s">
        <v>87</v>
      </c>
      <c r="T19" s="2" t="s">
        <v>141</v>
      </c>
      <c r="U19" s="19" t="s">
        <v>162</v>
      </c>
      <c r="V19" s="3" t="str">
        <f t="shared" si="7"/>
        <v>10100101</v>
      </c>
      <c r="W19" s="34" t="str">
        <f t="shared" si="8"/>
        <v>A5</v>
      </c>
    </row>
    <row r="20" spans="1:27" x14ac:dyDescent="0.35">
      <c r="A20" s="1">
        <v>18</v>
      </c>
      <c r="B20" s="15"/>
      <c r="C20" s="16"/>
      <c r="D20" s="16"/>
      <c r="E20" s="16"/>
      <c r="F20" s="3" t="s">
        <v>51</v>
      </c>
      <c r="G20" s="13" t="s">
        <v>128</v>
      </c>
      <c r="H20" s="3" t="e">
        <f t="shared" si="0"/>
        <v>#N/A</v>
      </c>
      <c r="I20" s="3" t="str">
        <f t="shared" si="1"/>
        <v>00</v>
      </c>
      <c r="J20" s="3" t="str">
        <f t="shared" si="2"/>
        <v>00</v>
      </c>
      <c r="K20" s="11" t="e">
        <f t="shared" si="3"/>
        <v>#N/A</v>
      </c>
      <c r="L20" s="14" t="e">
        <f t="shared" si="4"/>
        <v>#N/A</v>
      </c>
      <c r="M20" s="17" t="str">
        <f t="shared" si="5"/>
        <v/>
      </c>
      <c r="N20" s="18" t="str">
        <f t="shared" si="6"/>
        <v/>
      </c>
      <c r="O20" s="3" t="s">
        <v>61</v>
      </c>
      <c r="P20" s="3" t="s">
        <v>88</v>
      </c>
      <c r="T20" s="2" t="s">
        <v>160</v>
      </c>
      <c r="U20" s="19" t="s">
        <v>48</v>
      </c>
      <c r="V20" s="3" t="str">
        <f t="shared" si="7"/>
        <v>10101111</v>
      </c>
      <c r="W20" s="34" t="str">
        <f t="shared" si="8"/>
        <v>AF</v>
      </c>
    </row>
    <row r="21" spans="1:27" x14ac:dyDescent="0.35">
      <c r="A21" s="1">
        <v>19</v>
      </c>
      <c r="B21" s="15"/>
      <c r="C21" s="16"/>
      <c r="D21" s="16"/>
      <c r="E21" s="16"/>
      <c r="F21" s="3" t="s">
        <v>52</v>
      </c>
      <c r="G21" s="13" t="s">
        <v>129</v>
      </c>
      <c r="H21" s="3" t="e">
        <f t="shared" si="0"/>
        <v>#N/A</v>
      </c>
      <c r="I21" s="3" t="str">
        <f t="shared" si="1"/>
        <v>00</v>
      </c>
      <c r="J21" s="3" t="str">
        <f t="shared" si="2"/>
        <v>00</v>
      </c>
      <c r="K21" s="11" t="e">
        <f t="shared" si="3"/>
        <v>#N/A</v>
      </c>
      <c r="L21" s="14" t="e">
        <f t="shared" si="4"/>
        <v>#N/A</v>
      </c>
      <c r="M21" s="17" t="str">
        <f t="shared" si="5"/>
        <v/>
      </c>
      <c r="N21" s="18" t="str">
        <f t="shared" si="6"/>
        <v/>
      </c>
      <c r="O21" s="3" t="s">
        <v>62</v>
      </c>
      <c r="P21" s="3" t="s">
        <v>89</v>
      </c>
      <c r="T21" s="2" t="s">
        <v>141</v>
      </c>
      <c r="U21" s="19" t="s">
        <v>164</v>
      </c>
      <c r="V21" s="3" t="str">
        <f t="shared" si="7"/>
        <v>01011000</v>
      </c>
      <c r="W21" s="34" t="str">
        <f t="shared" si="8"/>
        <v>58</v>
      </c>
    </row>
    <row r="22" spans="1:27" x14ac:dyDescent="0.35">
      <c r="A22" s="1">
        <v>20</v>
      </c>
      <c r="B22" s="15"/>
      <c r="C22" s="16"/>
      <c r="D22" s="16"/>
      <c r="E22" s="16"/>
      <c r="F22" s="3" t="s">
        <v>53</v>
      </c>
      <c r="G22" s="13" t="s">
        <v>130</v>
      </c>
      <c r="H22" s="3" t="e">
        <f t="shared" si="0"/>
        <v>#N/A</v>
      </c>
      <c r="I22" s="3" t="str">
        <f t="shared" si="1"/>
        <v>00</v>
      </c>
      <c r="J22" s="3" t="str">
        <f t="shared" si="2"/>
        <v>00</v>
      </c>
      <c r="K22" s="11" t="e">
        <f t="shared" si="3"/>
        <v>#N/A</v>
      </c>
      <c r="L22" s="14" t="e">
        <f t="shared" si="4"/>
        <v>#N/A</v>
      </c>
      <c r="M22" s="17" t="str">
        <f t="shared" si="5"/>
        <v/>
      </c>
      <c r="N22" s="18" t="str">
        <f t="shared" si="6"/>
        <v/>
      </c>
      <c r="O22" s="3" t="s">
        <v>146</v>
      </c>
      <c r="P22" s="3" t="s">
        <v>90</v>
      </c>
      <c r="T22" s="2" t="s">
        <v>97</v>
      </c>
      <c r="U22" s="19" t="s">
        <v>157</v>
      </c>
      <c r="V22" s="3" t="str">
        <f t="shared" si="7"/>
        <v>00010110</v>
      </c>
      <c r="W22" s="34" t="str">
        <f t="shared" si="8"/>
        <v>16</v>
      </c>
    </row>
    <row r="23" spans="1:27" x14ac:dyDescent="0.35">
      <c r="A23" s="1">
        <v>21</v>
      </c>
      <c r="B23" s="15"/>
      <c r="C23" s="16"/>
      <c r="D23" s="16"/>
      <c r="E23" s="16"/>
      <c r="F23" s="3" t="s">
        <v>54</v>
      </c>
      <c r="G23" s="13" t="s">
        <v>131</v>
      </c>
      <c r="H23" s="3" t="e">
        <f t="shared" si="0"/>
        <v>#N/A</v>
      </c>
      <c r="I23" s="3" t="str">
        <f t="shared" si="1"/>
        <v>00</v>
      </c>
      <c r="J23" s="3" t="str">
        <f t="shared" si="2"/>
        <v>00</v>
      </c>
      <c r="K23" s="11" t="e">
        <f t="shared" si="3"/>
        <v>#N/A</v>
      </c>
      <c r="L23" s="14" t="e">
        <f t="shared" si="4"/>
        <v>#N/A</v>
      </c>
      <c r="M23" s="17" t="str">
        <f t="shared" si="5"/>
        <v/>
      </c>
      <c r="N23" s="18" t="str">
        <f t="shared" si="6"/>
        <v/>
      </c>
      <c r="O23" s="3" t="s">
        <v>63</v>
      </c>
      <c r="P23" s="3" t="s">
        <v>91</v>
      </c>
      <c r="T23" s="2" t="s">
        <v>141</v>
      </c>
      <c r="U23" s="19" t="s">
        <v>155</v>
      </c>
      <c r="V23" s="3" t="str">
        <f t="shared" si="7"/>
        <v>01000000</v>
      </c>
      <c r="W23" s="34" t="str">
        <f t="shared" si="8"/>
        <v>40</v>
      </c>
    </row>
    <row r="24" spans="1:27" x14ac:dyDescent="0.35">
      <c r="A24" s="1">
        <v>22</v>
      </c>
      <c r="B24" s="15"/>
      <c r="C24" s="16"/>
      <c r="D24" s="16"/>
      <c r="E24" s="16"/>
      <c r="F24" s="3" t="s">
        <v>55</v>
      </c>
      <c r="G24" s="13" t="s">
        <v>132</v>
      </c>
      <c r="H24" s="3" t="e">
        <f t="shared" si="0"/>
        <v>#N/A</v>
      </c>
      <c r="I24" s="3" t="str">
        <f t="shared" si="1"/>
        <v>00</v>
      </c>
      <c r="J24" s="3" t="str">
        <f t="shared" si="2"/>
        <v>00</v>
      </c>
      <c r="K24" s="11" t="e">
        <f t="shared" si="3"/>
        <v>#N/A</v>
      </c>
      <c r="L24" s="14" t="e">
        <f t="shared" si="4"/>
        <v>#N/A</v>
      </c>
      <c r="M24" s="17" t="str">
        <f t="shared" si="5"/>
        <v/>
      </c>
      <c r="N24" s="18" t="str">
        <f t="shared" si="6"/>
        <v/>
      </c>
      <c r="O24" s="3" t="s">
        <v>64</v>
      </c>
      <c r="P24" s="3" t="s">
        <v>92</v>
      </c>
      <c r="T24" s="2" t="s">
        <v>161</v>
      </c>
      <c r="U24" s="19">
        <v>11001111</v>
      </c>
      <c r="V24" s="3" t="str">
        <f t="shared" si="7"/>
        <v>00000111</v>
      </c>
      <c r="W24" s="34" t="str">
        <f t="shared" si="8"/>
        <v>7</v>
      </c>
    </row>
    <row r="25" spans="1:27" x14ac:dyDescent="0.35">
      <c r="A25" s="1">
        <v>23</v>
      </c>
      <c r="B25" s="15"/>
      <c r="C25" s="16"/>
      <c r="D25" s="16"/>
      <c r="E25" s="16"/>
      <c r="F25" s="3" t="s">
        <v>56</v>
      </c>
      <c r="G25" s="13" t="s">
        <v>133</v>
      </c>
      <c r="H25" s="3" t="e">
        <f t="shared" si="0"/>
        <v>#N/A</v>
      </c>
      <c r="I25" s="3" t="str">
        <f t="shared" si="1"/>
        <v>00</v>
      </c>
      <c r="J25" s="3" t="str">
        <f t="shared" si="2"/>
        <v>00</v>
      </c>
      <c r="K25" s="11" t="e">
        <f t="shared" si="3"/>
        <v>#N/A</v>
      </c>
      <c r="L25" s="14" t="e">
        <f t="shared" si="4"/>
        <v>#N/A</v>
      </c>
      <c r="M25" s="17" t="str">
        <f t="shared" si="5"/>
        <v/>
      </c>
      <c r="N25" s="18" t="str">
        <f t="shared" si="6"/>
        <v/>
      </c>
      <c r="O25" s="3" t="s">
        <v>65</v>
      </c>
      <c r="P25" s="3" t="s">
        <v>93</v>
      </c>
      <c r="T25" s="2" t="s">
        <v>141</v>
      </c>
      <c r="U25" s="19"/>
      <c r="V25" s="3">
        <f t="shared" si="7"/>
        <v>11001111</v>
      </c>
      <c r="W25" s="34" t="str">
        <f t="shared" si="8"/>
        <v>CF</v>
      </c>
    </row>
    <row r="26" spans="1:27" x14ac:dyDescent="0.35">
      <c r="A26" s="1">
        <v>24</v>
      </c>
      <c r="B26" s="15"/>
      <c r="C26" s="16"/>
      <c r="D26" s="16"/>
      <c r="E26" s="16"/>
      <c r="F26" s="3" t="s">
        <v>122</v>
      </c>
      <c r="G26" s="13" t="s">
        <v>134</v>
      </c>
      <c r="H26" s="3" t="e">
        <f t="shared" si="0"/>
        <v>#N/A</v>
      </c>
      <c r="I26" s="3" t="str">
        <f t="shared" si="1"/>
        <v>00</v>
      </c>
      <c r="J26" s="3" t="str">
        <f t="shared" si="2"/>
        <v>00</v>
      </c>
      <c r="K26" s="11" t="e">
        <f t="shared" si="3"/>
        <v>#N/A</v>
      </c>
      <c r="L26" s="14" t="e">
        <f t="shared" si="4"/>
        <v>#N/A</v>
      </c>
      <c r="M26" s="17" t="str">
        <f t="shared" si="5"/>
        <v/>
      </c>
      <c r="N26" s="18" t="str">
        <f t="shared" si="6"/>
        <v/>
      </c>
      <c r="O26" s="3" t="s">
        <v>123</v>
      </c>
      <c r="P26" s="3" t="s">
        <v>124</v>
      </c>
      <c r="T26" s="2" t="s">
        <v>162</v>
      </c>
      <c r="U26" s="19"/>
      <c r="V26" s="3" t="str">
        <f t="shared" si="7"/>
        <v/>
      </c>
      <c r="W26" s="34" t="str">
        <f t="shared" si="8"/>
        <v>0</v>
      </c>
    </row>
    <row r="27" spans="1:27" x14ac:dyDescent="0.35">
      <c r="A27" s="1">
        <v>25</v>
      </c>
      <c r="B27" s="15"/>
      <c r="C27" s="16"/>
      <c r="D27" s="16"/>
      <c r="E27" s="16"/>
      <c r="F27" s="3" t="s">
        <v>57</v>
      </c>
      <c r="G27" s="13" t="s">
        <v>135</v>
      </c>
      <c r="H27" s="3" t="e">
        <f t="shared" si="0"/>
        <v>#N/A</v>
      </c>
      <c r="I27" s="3" t="str">
        <f t="shared" si="1"/>
        <v>00</v>
      </c>
      <c r="J27" s="3" t="str">
        <f t="shared" si="2"/>
        <v>00</v>
      </c>
      <c r="K27" s="11" t="e">
        <f t="shared" si="3"/>
        <v>#N/A</v>
      </c>
      <c r="L27" s="14" t="e">
        <f t="shared" si="4"/>
        <v>#N/A</v>
      </c>
      <c r="M27" s="17" t="str">
        <f t="shared" si="5"/>
        <v/>
      </c>
      <c r="N27" s="18" t="str">
        <f t="shared" si="6"/>
        <v/>
      </c>
      <c r="O27" s="3" t="s">
        <v>125</v>
      </c>
      <c r="P27" s="3" t="s">
        <v>94</v>
      </c>
      <c r="T27" s="2" t="s">
        <v>141</v>
      </c>
      <c r="U27" s="19"/>
      <c r="V27" s="3" t="str">
        <f t="shared" si="7"/>
        <v/>
      </c>
      <c r="W27" s="34" t="str">
        <f t="shared" si="8"/>
        <v>0</v>
      </c>
    </row>
    <row r="28" spans="1:27" x14ac:dyDescent="0.35">
      <c r="A28" s="1">
        <v>26</v>
      </c>
      <c r="B28" s="15"/>
      <c r="C28" s="16"/>
      <c r="D28" s="16"/>
      <c r="E28" s="16"/>
      <c r="F28" s="3" t="s">
        <v>58</v>
      </c>
      <c r="G28" s="13" t="s">
        <v>136</v>
      </c>
      <c r="H28" s="3" t="e">
        <f t="shared" si="0"/>
        <v>#N/A</v>
      </c>
      <c r="I28" s="3" t="str">
        <f t="shared" si="1"/>
        <v>00</v>
      </c>
      <c r="J28" s="3" t="str">
        <f t="shared" si="2"/>
        <v>00</v>
      </c>
      <c r="K28" s="11" t="e">
        <f t="shared" si="3"/>
        <v>#N/A</v>
      </c>
      <c r="L28" s="14" t="e">
        <f t="shared" si="4"/>
        <v>#N/A</v>
      </c>
      <c r="M28" s="17" t="str">
        <f t="shared" si="5"/>
        <v/>
      </c>
      <c r="N28" s="18" t="str">
        <f t="shared" si="6"/>
        <v/>
      </c>
      <c r="O28" s="3" t="s">
        <v>126</v>
      </c>
      <c r="P28" s="3" t="s">
        <v>95</v>
      </c>
      <c r="T28" s="2" t="s">
        <v>48</v>
      </c>
      <c r="U28" s="19"/>
      <c r="V28" s="3" t="str">
        <f t="shared" si="7"/>
        <v/>
      </c>
      <c r="W28" s="34" t="str">
        <f t="shared" si="8"/>
        <v>0</v>
      </c>
    </row>
    <row r="29" spans="1:27" x14ac:dyDescent="0.35">
      <c r="A29" s="1">
        <v>27</v>
      </c>
      <c r="B29" s="15"/>
      <c r="C29" s="16"/>
      <c r="D29" s="16"/>
      <c r="E29" s="16"/>
      <c r="F29" s="3" t="s">
        <v>59</v>
      </c>
      <c r="G29" s="13" t="s">
        <v>137</v>
      </c>
      <c r="H29" s="3" t="e">
        <f t="shared" si="0"/>
        <v>#N/A</v>
      </c>
      <c r="I29" s="3" t="str">
        <f t="shared" si="1"/>
        <v>00</v>
      </c>
      <c r="J29" s="3" t="str">
        <f t="shared" si="2"/>
        <v>00</v>
      </c>
      <c r="K29" s="11" t="e">
        <f t="shared" si="3"/>
        <v>#N/A</v>
      </c>
      <c r="L29" s="14" t="e">
        <f t="shared" si="4"/>
        <v>#N/A</v>
      </c>
      <c r="M29" s="17" t="str">
        <f t="shared" si="5"/>
        <v/>
      </c>
      <c r="N29" s="18" t="str">
        <f t="shared" si="6"/>
        <v/>
      </c>
      <c r="O29" s="3" t="s">
        <v>66</v>
      </c>
      <c r="P29" s="3" t="s">
        <v>96</v>
      </c>
      <c r="T29" s="2" t="s">
        <v>164</v>
      </c>
      <c r="U29" s="19"/>
      <c r="V29" s="3" t="str">
        <f t="shared" si="7"/>
        <v/>
      </c>
      <c r="W29" s="34" t="str">
        <f t="shared" si="8"/>
        <v>0</v>
      </c>
    </row>
    <row r="30" spans="1:27" x14ac:dyDescent="0.35">
      <c r="A30" s="1">
        <v>28</v>
      </c>
      <c r="B30" s="15"/>
      <c r="C30" s="16"/>
      <c r="D30" s="16"/>
      <c r="E30" s="16"/>
      <c r="F30" s="3" t="s">
        <v>68</v>
      </c>
      <c r="G30" s="3" t="s">
        <v>97</v>
      </c>
      <c r="H30" s="3" t="e">
        <f t="shared" si="0"/>
        <v>#N/A</v>
      </c>
      <c r="I30" s="3" t="str">
        <f t="shared" si="1"/>
        <v>00</v>
      </c>
      <c r="J30" s="3" t="str">
        <f t="shared" si="2"/>
        <v>00</v>
      </c>
      <c r="K30" s="11" t="e">
        <f t="shared" si="3"/>
        <v>#N/A</v>
      </c>
      <c r="L30" s="14" t="e">
        <f t="shared" si="4"/>
        <v>#N/A</v>
      </c>
      <c r="M30" s="17" t="str">
        <f t="shared" si="5"/>
        <v/>
      </c>
      <c r="N30" s="18" t="str">
        <f t="shared" si="6"/>
        <v/>
      </c>
      <c r="O30" s="3" t="s">
        <v>69</v>
      </c>
      <c r="P30" s="3" t="s">
        <v>68</v>
      </c>
      <c r="T30" s="2" t="s">
        <v>157</v>
      </c>
      <c r="U30" s="19"/>
      <c r="V30" s="3" t="str">
        <f t="shared" si="7"/>
        <v/>
      </c>
      <c r="W30" s="34" t="str">
        <f t="shared" si="8"/>
        <v>0</v>
      </c>
    </row>
    <row r="31" spans="1:27" x14ac:dyDescent="0.35">
      <c r="A31" s="1">
        <v>29</v>
      </c>
      <c r="B31" s="15"/>
      <c r="C31" s="16"/>
      <c r="D31" s="16"/>
      <c r="E31" s="16"/>
      <c r="F31" s="3" t="s">
        <v>8</v>
      </c>
      <c r="G31" s="10" t="s">
        <v>98</v>
      </c>
      <c r="H31" s="3" t="e">
        <f t="shared" si="0"/>
        <v>#N/A</v>
      </c>
      <c r="I31" s="3" t="str">
        <f t="shared" si="1"/>
        <v>00</v>
      </c>
      <c r="J31" s="3" t="str">
        <f t="shared" si="2"/>
        <v>00</v>
      </c>
      <c r="K31" s="11" t="e">
        <f t="shared" si="3"/>
        <v>#N/A</v>
      </c>
      <c r="L31" s="14" t="e">
        <f t="shared" si="4"/>
        <v>#N/A</v>
      </c>
      <c r="M31" s="17" t="str">
        <f t="shared" si="5"/>
        <v/>
      </c>
      <c r="N31" s="18" t="str">
        <f t="shared" si="6"/>
        <v/>
      </c>
      <c r="O31" s="3" t="s">
        <v>30</v>
      </c>
      <c r="P31" s="3" t="s">
        <v>8</v>
      </c>
      <c r="T31" s="2" t="s">
        <v>155</v>
      </c>
      <c r="U31" s="19"/>
      <c r="V31" s="3" t="str">
        <f t="shared" si="7"/>
        <v/>
      </c>
      <c r="W31" s="34" t="str">
        <f t="shared" si="8"/>
        <v>0</v>
      </c>
    </row>
    <row r="32" spans="1:27" x14ac:dyDescent="0.35">
      <c r="A32" s="1">
        <v>30</v>
      </c>
      <c r="B32" s="15"/>
      <c r="C32" s="16"/>
      <c r="D32" s="16"/>
      <c r="E32" s="16"/>
      <c r="F32" s="3" t="s">
        <v>9</v>
      </c>
      <c r="G32" s="10" t="s">
        <v>99</v>
      </c>
      <c r="H32" s="3" t="e">
        <f t="shared" si="0"/>
        <v>#N/A</v>
      </c>
      <c r="I32" s="3" t="str">
        <f t="shared" si="1"/>
        <v>00</v>
      </c>
      <c r="J32" s="3" t="str">
        <f t="shared" si="2"/>
        <v>00</v>
      </c>
      <c r="K32" s="11" t="e">
        <f t="shared" si="3"/>
        <v>#N/A</v>
      </c>
      <c r="L32" s="14" t="e">
        <f t="shared" si="4"/>
        <v>#N/A</v>
      </c>
      <c r="M32" s="17" t="str">
        <f t="shared" si="5"/>
        <v/>
      </c>
      <c r="N32" s="18" t="str">
        <f t="shared" si="6"/>
        <v/>
      </c>
      <c r="O32" s="3" t="s">
        <v>31</v>
      </c>
      <c r="P32" s="3" t="s">
        <v>9</v>
      </c>
      <c r="T32" s="2">
        <v>11001111</v>
      </c>
      <c r="U32" s="19"/>
      <c r="V32" s="3" t="str">
        <f t="shared" si="7"/>
        <v/>
      </c>
      <c r="W32" s="34" t="str">
        <f t="shared" si="8"/>
        <v>0</v>
      </c>
    </row>
    <row r="33" spans="1:23" x14ac:dyDescent="0.35">
      <c r="A33" s="1">
        <v>31</v>
      </c>
      <c r="B33" s="15"/>
      <c r="C33" s="16"/>
      <c r="D33" s="16"/>
      <c r="E33" s="16"/>
      <c r="F33" s="3" t="s">
        <v>10</v>
      </c>
      <c r="G33" s="10" t="s">
        <v>115</v>
      </c>
      <c r="H33" s="3" t="e">
        <f t="shared" si="0"/>
        <v>#N/A</v>
      </c>
      <c r="I33" s="3" t="str">
        <f t="shared" si="1"/>
        <v>00</v>
      </c>
      <c r="J33" s="3" t="str">
        <f t="shared" si="2"/>
        <v>00</v>
      </c>
      <c r="K33" s="11" t="e">
        <f t="shared" si="3"/>
        <v>#N/A</v>
      </c>
      <c r="L33" s="14" t="e">
        <f t="shared" si="4"/>
        <v>#N/A</v>
      </c>
      <c r="M33" s="17" t="str">
        <f t="shared" si="5"/>
        <v/>
      </c>
      <c r="N33" s="18" t="str">
        <f t="shared" si="6"/>
        <v/>
      </c>
      <c r="O33" s="3" t="s">
        <v>32</v>
      </c>
      <c r="P33" s="3" t="s">
        <v>10</v>
      </c>
      <c r="T33" s="2" t="s">
        <v>141</v>
      </c>
      <c r="U33" s="19"/>
      <c r="V33" s="3" t="str">
        <f t="shared" si="7"/>
        <v/>
      </c>
      <c r="W33" s="34" t="str">
        <f t="shared" si="8"/>
        <v>0</v>
      </c>
    </row>
    <row r="34" spans="1:23" x14ac:dyDescent="0.35">
      <c r="A34" s="1">
        <v>32</v>
      </c>
      <c r="B34" s="15"/>
      <c r="C34" s="16"/>
      <c r="D34" s="16"/>
      <c r="E34" s="16"/>
      <c r="F34" s="3" t="s">
        <v>11</v>
      </c>
      <c r="G34" s="10" t="s">
        <v>116</v>
      </c>
      <c r="H34" s="3" t="e">
        <f t="shared" si="0"/>
        <v>#N/A</v>
      </c>
      <c r="I34" s="3" t="str">
        <f t="shared" si="1"/>
        <v>00</v>
      </c>
      <c r="J34" s="3" t="str">
        <f t="shared" si="2"/>
        <v>00</v>
      </c>
      <c r="K34" s="11" t="e">
        <f t="shared" si="3"/>
        <v>#N/A</v>
      </c>
      <c r="L34" s="14" t="e">
        <f t="shared" si="4"/>
        <v>#N/A</v>
      </c>
      <c r="M34" s="17" t="str">
        <f t="shared" si="5"/>
        <v/>
      </c>
      <c r="N34" s="18" t="str">
        <f t="shared" si="6"/>
        <v/>
      </c>
      <c r="O34" s="3" t="s">
        <v>33</v>
      </c>
      <c r="P34" s="3" t="s">
        <v>11</v>
      </c>
      <c r="T34" s="2" t="s">
        <v>141</v>
      </c>
      <c r="U34" s="19"/>
      <c r="V34" s="3" t="str">
        <f t="shared" si="7"/>
        <v/>
      </c>
      <c r="W34" s="34" t="str">
        <f t="shared" si="8"/>
        <v>0</v>
      </c>
    </row>
    <row r="35" spans="1:23" x14ac:dyDescent="0.35">
      <c r="A35" s="1">
        <v>33</v>
      </c>
      <c r="B35" s="15"/>
      <c r="C35" s="16"/>
      <c r="D35" s="16"/>
      <c r="E35" s="16"/>
      <c r="F35" s="3" t="s">
        <v>100</v>
      </c>
      <c r="G35" s="3"/>
      <c r="H35" s="3" t="e">
        <f t="shared" si="0"/>
        <v>#N/A</v>
      </c>
      <c r="I35" s="3" t="str">
        <f t="shared" si="1"/>
        <v>00</v>
      </c>
      <c r="J35" s="3" t="str">
        <f t="shared" si="2"/>
        <v>00</v>
      </c>
      <c r="K35" s="11" t="e">
        <f t="shared" si="3"/>
        <v>#N/A</v>
      </c>
      <c r="L35" s="14" t="e">
        <f t="shared" si="4"/>
        <v>#N/A</v>
      </c>
      <c r="M35" s="17" t="str">
        <f t="shared" si="5"/>
        <v/>
      </c>
      <c r="N35" s="18" t="str">
        <f t="shared" si="6"/>
        <v/>
      </c>
      <c r="O35" s="3" t="s">
        <v>104</v>
      </c>
      <c r="P35" s="3" t="s">
        <v>108</v>
      </c>
      <c r="T35" s="2" t="s">
        <v>141</v>
      </c>
      <c r="U35" s="19"/>
      <c r="V35" s="3" t="str">
        <f t="shared" si="7"/>
        <v/>
      </c>
      <c r="W35" s="34" t="str">
        <f t="shared" si="8"/>
        <v>0</v>
      </c>
    </row>
    <row r="36" spans="1:23" x14ac:dyDescent="0.35">
      <c r="A36" s="1">
        <v>34</v>
      </c>
      <c r="B36" s="15"/>
      <c r="C36" s="16"/>
      <c r="D36" s="16"/>
      <c r="E36" s="16"/>
      <c r="F36" s="3" t="s">
        <v>101</v>
      </c>
      <c r="G36" s="3"/>
      <c r="H36" s="3" t="e">
        <f t="shared" si="0"/>
        <v>#N/A</v>
      </c>
      <c r="I36" s="3" t="str">
        <f t="shared" si="1"/>
        <v>00</v>
      </c>
      <c r="J36" s="3" t="str">
        <f t="shared" si="2"/>
        <v>00</v>
      </c>
      <c r="K36" s="11" t="e">
        <f t="shared" si="3"/>
        <v>#N/A</v>
      </c>
      <c r="L36" s="14" t="e">
        <f t="shared" si="4"/>
        <v>#N/A</v>
      </c>
      <c r="M36" s="17" t="str">
        <f t="shared" si="5"/>
        <v/>
      </c>
      <c r="N36" s="18" t="str">
        <f t="shared" si="6"/>
        <v/>
      </c>
      <c r="O36" s="3" t="s">
        <v>105</v>
      </c>
      <c r="P36" s="3" t="s">
        <v>109</v>
      </c>
      <c r="T36" s="2" t="s">
        <v>141</v>
      </c>
      <c r="U36" s="19"/>
      <c r="V36" s="3" t="str">
        <f t="shared" si="7"/>
        <v/>
      </c>
      <c r="W36" s="34" t="str">
        <f t="shared" si="8"/>
        <v>0</v>
      </c>
    </row>
    <row r="37" spans="1:23" x14ac:dyDescent="0.35">
      <c r="A37" s="1">
        <v>35</v>
      </c>
      <c r="B37" s="15"/>
      <c r="C37" s="16"/>
      <c r="D37" s="16"/>
      <c r="E37" s="16"/>
      <c r="F37" s="3" t="s">
        <v>102</v>
      </c>
      <c r="G37" s="3"/>
      <c r="H37" s="3" t="e">
        <f t="shared" si="0"/>
        <v>#N/A</v>
      </c>
      <c r="I37" s="3" t="str">
        <f t="shared" si="1"/>
        <v>00</v>
      </c>
      <c r="J37" s="3" t="str">
        <f t="shared" si="2"/>
        <v>00</v>
      </c>
      <c r="K37" s="11" t="e">
        <f t="shared" si="3"/>
        <v>#N/A</v>
      </c>
      <c r="L37" s="14" t="e">
        <f t="shared" si="4"/>
        <v>#N/A</v>
      </c>
      <c r="M37" s="17" t="str">
        <f t="shared" si="5"/>
        <v/>
      </c>
      <c r="N37" s="18" t="str">
        <f t="shared" si="6"/>
        <v/>
      </c>
      <c r="O37" s="3" t="s">
        <v>106</v>
      </c>
      <c r="P37" s="3" t="s">
        <v>110</v>
      </c>
      <c r="T37" s="2" t="s">
        <v>141</v>
      </c>
      <c r="U37" s="19"/>
      <c r="V37" s="3" t="str">
        <f t="shared" si="7"/>
        <v/>
      </c>
      <c r="W37" s="34" t="str">
        <f t="shared" si="8"/>
        <v>0</v>
      </c>
    </row>
    <row r="38" spans="1:23" x14ac:dyDescent="0.35">
      <c r="A38" s="1">
        <v>36</v>
      </c>
      <c r="B38" s="15"/>
      <c r="C38" s="16"/>
      <c r="D38" s="16"/>
      <c r="E38" s="16"/>
      <c r="F38" s="3" t="s">
        <v>103</v>
      </c>
      <c r="G38" s="3"/>
      <c r="H38" s="3" t="e">
        <f t="shared" si="0"/>
        <v>#N/A</v>
      </c>
      <c r="I38" s="3" t="str">
        <f t="shared" si="1"/>
        <v>00</v>
      </c>
      <c r="J38" s="3" t="str">
        <f t="shared" si="2"/>
        <v>00</v>
      </c>
      <c r="K38" s="11" t="e">
        <f t="shared" si="3"/>
        <v>#N/A</v>
      </c>
      <c r="L38" s="14" t="e">
        <f t="shared" si="4"/>
        <v>#N/A</v>
      </c>
      <c r="M38" s="17" t="str">
        <f t="shared" si="5"/>
        <v/>
      </c>
      <c r="N38" s="18" t="str">
        <f t="shared" si="6"/>
        <v/>
      </c>
      <c r="O38" s="3" t="s">
        <v>107</v>
      </c>
      <c r="P38" s="3" t="s">
        <v>111</v>
      </c>
      <c r="T38" s="2" t="s">
        <v>141</v>
      </c>
      <c r="U38" s="19"/>
      <c r="V38" s="3" t="str">
        <f t="shared" si="7"/>
        <v/>
      </c>
      <c r="W38" s="34" t="str">
        <f t="shared" si="8"/>
        <v>0</v>
      </c>
    </row>
    <row r="39" spans="1:23" x14ac:dyDescent="0.35">
      <c r="A39" s="1">
        <v>37</v>
      </c>
      <c r="B39" s="15"/>
      <c r="C39" s="16"/>
      <c r="D39" s="16"/>
      <c r="E39" s="16"/>
      <c r="F39" s="3" t="s">
        <v>145</v>
      </c>
      <c r="G39" s="3">
        <v>11001111</v>
      </c>
      <c r="H39" s="3" t="e">
        <f t="shared" si="0"/>
        <v>#N/A</v>
      </c>
      <c r="I39" s="3" t="str">
        <f t="shared" si="1"/>
        <v>00</v>
      </c>
      <c r="J39" s="3" t="str">
        <f t="shared" si="2"/>
        <v>00</v>
      </c>
      <c r="K39" s="11" t="e">
        <f t="shared" si="3"/>
        <v>#N/A</v>
      </c>
      <c r="L39" s="14" t="e">
        <f t="shared" si="4"/>
        <v>#N/A</v>
      </c>
      <c r="M39" s="17" t="str">
        <f t="shared" si="5"/>
        <v/>
      </c>
      <c r="N39" s="18" t="str">
        <f t="shared" si="6"/>
        <v/>
      </c>
      <c r="O39" s="3" t="s">
        <v>145</v>
      </c>
      <c r="P39" s="3" t="s">
        <v>145</v>
      </c>
      <c r="T39" s="2" t="s">
        <v>141</v>
      </c>
      <c r="U39" s="19"/>
      <c r="V39" s="3" t="str">
        <f t="shared" si="7"/>
        <v/>
      </c>
      <c r="W39" s="34" t="str">
        <f t="shared" si="8"/>
        <v>0</v>
      </c>
    </row>
    <row r="40" spans="1:23" x14ac:dyDescent="0.35">
      <c r="A40" s="1">
        <v>38</v>
      </c>
      <c r="B40" s="15"/>
      <c r="C40" s="16"/>
      <c r="D40" s="16"/>
      <c r="E40" s="16"/>
      <c r="F40" s="3"/>
      <c r="G40" s="3"/>
      <c r="H40" s="3" t="e">
        <f t="shared" si="0"/>
        <v>#N/A</v>
      </c>
      <c r="I40" s="3" t="str">
        <f t="shared" si="1"/>
        <v>00</v>
      </c>
      <c r="J40" s="3" t="str">
        <f t="shared" si="2"/>
        <v>00</v>
      </c>
      <c r="K40" s="11" t="e">
        <f t="shared" si="3"/>
        <v>#N/A</v>
      </c>
      <c r="L40" s="14" t="e">
        <f t="shared" si="4"/>
        <v>#N/A</v>
      </c>
      <c r="M40" s="17" t="str">
        <f t="shared" si="5"/>
        <v/>
      </c>
      <c r="N40" s="18" t="str">
        <f t="shared" si="6"/>
        <v/>
      </c>
      <c r="O40" s="3"/>
      <c r="P40" s="3"/>
      <c r="T40" s="2" t="s">
        <v>141</v>
      </c>
      <c r="U40" s="19"/>
      <c r="V40" s="3" t="str">
        <f t="shared" si="7"/>
        <v/>
      </c>
      <c r="W40" s="34" t="str">
        <f t="shared" si="8"/>
        <v>0</v>
      </c>
    </row>
    <row r="41" spans="1:23" x14ac:dyDescent="0.35">
      <c r="A41" s="1">
        <v>39</v>
      </c>
      <c r="B41" s="15"/>
      <c r="C41" s="16"/>
      <c r="D41" s="16"/>
      <c r="E41" s="16"/>
      <c r="F41" s="3"/>
      <c r="G41" s="3"/>
      <c r="H41" s="3" t="e">
        <f t="shared" si="0"/>
        <v>#N/A</v>
      </c>
      <c r="I41" s="3" t="str">
        <f t="shared" si="1"/>
        <v>00</v>
      </c>
      <c r="J41" s="3" t="str">
        <f t="shared" si="2"/>
        <v>00</v>
      </c>
      <c r="K41" s="11" t="e">
        <f t="shared" si="3"/>
        <v>#N/A</v>
      </c>
      <c r="L41" s="14" t="e">
        <f t="shared" si="4"/>
        <v>#N/A</v>
      </c>
      <c r="M41" s="17" t="str">
        <f t="shared" si="5"/>
        <v/>
      </c>
      <c r="N41" s="18" t="str">
        <f t="shared" si="6"/>
        <v/>
      </c>
      <c r="O41" s="3"/>
      <c r="P41" s="3"/>
      <c r="T41" s="2" t="s">
        <v>141</v>
      </c>
      <c r="U41" s="19"/>
      <c r="V41" s="3" t="str">
        <f t="shared" si="7"/>
        <v/>
      </c>
      <c r="W41" s="34" t="str">
        <f t="shared" si="8"/>
        <v>0</v>
      </c>
    </row>
    <row r="42" spans="1:23" x14ac:dyDescent="0.35">
      <c r="A42" s="1">
        <v>40</v>
      </c>
      <c r="B42" s="15"/>
      <c r="C42" s="16"/>
      <c r="D42" s="16"/>
      <c r="E42" s="16"/>
      <c r="F42" s="3"/>
      <c r="G42" s="3"/>
      <c r="H42" s="3" t="e">
        <f t="shared" si="0"/>
        <v>#N/A</v>
      </c>
      <c r="I42" s="3" t="str">
        <f t="shared" si="1"/>
        <v>00</v>
      </c>
      <c r="J42" s="3" t="str">
        <f t="shared" si="2"/>
        <v>00</v>
      </c>
      <c r="K42" s="11" t="e">
        <f t="shared" si="3"/>
        <v>#N/A</v>
      </c>
      <c r="L42" s="14" t="e">
        <f t="shared" si="4"/>
        <v>#N/A</v>
      </c>
      <c r="M42" s="17" t="str">
        <f t="shared" si="5"/>
        <v/>
      </c>
      <c r="N42" s="18" t="str">
        <f t="shared" si="6"/>
        <v/>
      </c>
      <c r="O42" s="3"/>
      <c r="P42" s="3"/>
      <c r="T42" s="2" t="s">
        <v>141</v>
      </c>
      <c r="U42" s="19"/>
      <c r="V42" s="3" t="str">
        <f t="shared" si="7"/>
        <v/>
      </c>
      <c r="W42" s="34" t="str">
        <f t="shared" si="8"/>
        <v>0</v>
      </c>
    </row>
    <row r="43" spans="1:23" x14ac:dyDescent="0.35">
      <c r="A43" s="1">
        <v>41</v>
      </c>
      <c r="B43" s="15"/>
      <c r="C43" s="16"/>
      <c r="D43" s="16"/>
      <c r="E43" s="16"/>
      <c r="F43" s="3"/>
      <c r="G43" s="3"/>
      <c r="H43" s="3" t="e">
        <f t="shared" si="0"/>
        <v>#N/A</v>
      </c>
      <c r="I43" s="3" t="str">
        <f t="shared" si="1"/>
        <v>00</v>
      </c>
      <c r="J43" s="3" t="str">
        <f t="shared" si="2"/>
        <v>00</v>
      </c>
      <c r="K43" s="11" t="e">
        <f t="shared" si="3"/>
        <v>#N/A</v>
      </c>
      <c r="L43" s="14" t="e">
        <f t="shared" si="4"/>
        <v>#N/A</v>
      </c>
      <c r="M43" s="17" t="str">
        <f t="shared" si="5"/>
        <v/>
      </c>
      <c r="N43" s="18" t="str">
        <f t="shared" si="6"/>
        <v/>
      </c>
      <c r="O43" s="3"/>
      <c r="P43" s="3"/>
      <c r="T43" s="2" t="s">
        <v>141</v>
      </c>
      <c r="U43" s="19"/>
      <c r="V43" s="3" t="str">
        <f t="shared" si="7"/>
        <v/>
      </c>
      <c r="W43" s="34" t="str">
        <f t="shared" si="8"/>
        <v>0</v>
      </c>
    </row>
    <row r="44" spans="1:23" x14ac:dyDescent="0.35">
      <c r="A44" s="1">
        <v>42</v>
      </c>
      <c r="B44" s="15"/>
      <c r="C44" s="16"/>
      <c r="D44" s="16"/>
      <c r="E44" s="16"/>
      <c r="F44" s="3"/>
      <c r="G44" s="3"/>
      <c r="H44" s="3" t="e">
        <f t="shared" si="0"/>
        <v>#N/A</v>
      </c>
      <c r="I44" s="3" t="str">
        <f t="shared" si="1"/>
        <v>00</v>
      </c>
      <c r="J44" s="3" t="str">
        <f t="shared" si="2"/>
        <v>00</v>
      </c>
      <c r="K44" s="11" t="e">
        <f t="shared" si="3"/>
        <v>#N/A</v>
      </c>
      <c r="L44" s="14" t="e">
        <f t="shared" si="4"/>
        <v>#N/A</v>
      </c>
      <c r="M44" s="17" t="str">
        <f t="shared" si="5"/>
        <v/>
      </c>
      <c r="N44" s="18" t="str">
        <f t="shared" si="6"/>
        <v/>
      </c>
      <c r="O44" s="3"/>
      <c r="P44" s="3"/>
      <c r="T44" s="2" t="s">
        <v>141</v>
      </c>
      <c r="U44" s="19"/>
      <c r="V44" s="3" t="str">
        <f t="shared" si="7"/>
        <v/>
      </c>
      <c r="W44" s="34" t="str">
        <f t="shared" si="8"/>
        <v>0</v>
      </c>
    </row>
    <row r="45" spans="1:23" x14ac:dyDescent="0.35">
      <c r="A45" s="1">
        <v>43</v>
      </c>
      <c r="B45" s="15"/>
      <c r="C45" s="16"/>
      <c r="D45" s="16"/>
      <c r="E45" s="16"/>
      <c r="F45" s="3"/>
      <c r="G45" s="3"/>
      <c r="H45" s="3" t="e">
        <f t="shared" si="0"/>
        <v>#N/A</v>
      </c>
      <c r="I45" s="3" t="str">
        <f t="shared" si="1"/>
        <v>00</v>
      </c>
      <c r="J45" s="3" t="str">
        <f t="shared" si="2"/>
        <v>00</v>
      </c>
      <c r="K45" s="11" t="e">
        <f t="shared" si="3"/>
        <v>#N/A</v>
      </c>
      <c r="L45" s="14" t="e">
        <f t="shared" si="4"/>
        <v>#N/A</v>
      </c>
      <c r="M45" s="17" t="str">
        <f t="shared" si="5"/>
        <v/>
      </c>
      <c r="N45" s="18" t="str">
        <f t="shared" si="6"/>
        <v/>
      </c>
      <c r="O45" s="3"/>
      <c r="P45" s="3"/>
      <c r="T45" s="2" t="s">
        <v>141</v>
      </c>
      <c r="U45" s="19"/>
      <c r="V45" s="3" t="str">
        <f t="shared" si="7"/>
        <v/>
      </c>
      <c r="W45" s="34" t="str">
        <f t="shared" si="8"/>
        <v>0</v>
      </c>
    </row>
    <row r="46" spans="1:23" x14ac:dyDescent="0.35">
      <c r="A46" s="1">
        <v>44</v>
      </c>
      <c r="B46" s="15"/>
      <c r="C46" s="16"/>
      <c r="D46" s="16"/>
      <c r="E46" s="16"/>
      <c r="F46" s="3"/>
      <c r="G46" s="3"/>
      <c r="H46" s="3" t="e">
        <f t="shared" si="0"/>
        <v>#N/A</v>
      </c>
      <c r="I46" s="3" t="str">
        <f t="shared" si="1"/>
        <v>00</v>
      </c>
      <c r="J46" s="3" t="str">
        <f t="shared" si="2"/>
        <v>00</v>
      </c>
      <c r="K46" s="11" t="e">
        <f t="shared" si="3"/>
        <v>#N/A</v>
      </c>
      <c r="L46" s="14" t="e">
        <f t="shared" si="4"/>
        <v>#N/A</v>
      </c>
      <c r="M46" s="17" t="str">
        <f t="shared" si="5"/>
        <v/>
      </c>
      <c r="N46" s="18" t="str">
        <f t="shared" si="6"/>
        <v/>
      </c>
      <c r="O46" s="3"/>
      <c r="P46" s="3"/>
      <c r="T46" s="2" t="s">
        <v>141</v>
      </c>
      <c r="U46" s="19"/>
      <c r="V46" s="3" t="str">
        <f t="shared" si="7"/>
        <v/>
      </c>
      <c r="W46" s="34" t="str">
        <f t="shared" si="8"/>
        <v>0</v>
      </c>
    </row>
    <row r="47" spans="1:23" x14ac:dyDescent="0.35">
      <c r="A47" s="1">
        <v>45</v>
      </c>
      <c r="B47" s="15"/>
      <c r="C47" s="16"/>
      <c r="D47" s="16"/>
      <c r="E47" s="16"/>
      <c r="F47" s="3"/>
      <c r="G47" s="3"/>
      <c r="H47" s="3" t="e">
        <f t="shared" si="0"/>
        <v>#N/A</v>
      </c>
      <c r="I47" s="3" t="str">
        <f t="shared" si="1"/>
        <v>00</v>
      </c>
      <c r="J47" s="3" t="str">
        <f t="shared" si="2"/>
        <v>00</v>
      </c>
      <c r="K47" s="11" t="e">
        <f t="shared" si="3"/>
        <v>#N/A</v>
      </c>
      <c r="L47" s="14" t="e">
        <f t="shared" si="4"/>
        <v>#N/A</v>
      </c>
      <c r="M47" s="17" t="str">
        <f t="shared" si="5"/>
        <v/>
      </c>
      <c r="N47" s="18" t="str">
        <f t="shared" si="6"/>
        <v/>
      </c>
      <c r="O47" s="3"/>
      <c r="P47" s="3"/>
      <c r="T47" s="2" t="s">
        <v>141</v>
      </c>
      <c r="U47" s="19"/>
      <c r="V47" s="3" t="str">
        <f t="shared" si="7"/>
        <v/>
      </c>
      <c r="W47" s="34" t="str">
        <f t="shared" si="8"/>
        <v>0</v>
      </c>
    </row>
    <row r="48" spans="1:23" x14ac:dyDescent="0.35">
      <c r="A48" s="1">
        <v>46</v>
      </c>
      <c r="B48" s="15"/>
      <c r="C48" s="16"/>
      <c r="D48" s="16"/>
      <c r="E48" s="16"/>
      <c r="F48" s="3"/>
      <c r="G48" s="3"/>
      <c r="H48" s="3" t="e">
        <f t="shared" si="0"/>
        <v>#N/A</v>
      </c>
      <c r="I48" s="3" t="str">
        <f t="shared" si="1"/>
        <v>00</v>
      </c>
      <c r="J48" s="3" t="str">
        <f t="shared" si="2"/>
        <v>00</v>
      </c>
      <c r="K48" s="11" t="e">
        <f t="shared" si="3"/>
        <v>#N/A</v>
      </c>
      <c r="L48" s="14" t="e">
        <f t="shared" si="4"/>
        <v>#N/A</v>
      </c>
      <c r="M48" s="17" t="str">
        <f t="shared" si="5"/>
        <v/>
      </c>
      <c r="N48" s="18" t="str">
        <f t="shared" si="6"/>
        <v/>
      </c>
      <c r="O48" s="3"/>
      <c r="P48" s="3"/>
      <c r="T48" s="2" t="s">
        <v>141</v>
      </c>
      <c r="U48" s="19"/>
      <c r="V48" s="3" t="str">
        <f t="shared" si="7"/>
        <v/>
      </c>
      <c r="W48" s="34" t="str">
        <f t="shared" si="8"/>
        <v>0</v>
      </c>
    </row>
    <row r="49" spans="1:23" x14ac:dyDescent="0.35">
      <c r="A49" s="1">
        <v>47</v>
      </c>
      <c r="B49" s="15"/>
      <c r="C49" s="16"/>
      <c r="D49" s="16"/>
      <c r="E49" s="16"/>
      <c r="F49" s="3"/>
      <c r="G49" s="3"/>
      <c r="H49" s="3" t="e">
        <f t="shared" si="0"/>
        <v>#N/A</v>
      </c>
      <c r="I49" s="3" t="str">
        <f t="shared" si="1"/>
        <v>00</v>
      </c>
      <c r="J49" s="3" t="str">
        <f t="shared" si="2"/>
        <v>00</v>
      </c>
      <c r="K49" s="11" t="e">
        <f t="shared" si="3"/>
        <v>#N/A</v>
      </c>
      <c r="L49" s="14" t="e">
        <f t="shared" si="4"/>
        <v>#N/A</v>
      </c>
      <c r="M49" s="17" t="str">
        <f t="shared" si="5"/>
        <v/>
      </c>
      <c r="N49" s="18" t="str">
        <f t="shared" si="6"/>
        <v/>
      </c>
      <c r="O49" s="3"/>
      <c r="P49" s="3"/>
      <c r="T49" s="2" t="s">
        <v>141</v>
      </c>
      <c r="U49" s="19"/>
      <c r="V49" s="3" t="str">
        <f t="shared" si="7"/>
        <v/>
      </c>
      <c r="W49" s="34" t="str">
        <f t="shared" si="8"/>
        <v>0</v>
      </c>
    </row>
    <row r="50" spans="1:23" x14ac:dyDescent="0.35">
      <c r="A50" s="1">
        <v>48</v>
      </c>
      <c r="B50" s="15"/>
      <c r="C50" s="16"/>
      <c r="D50" s="16"/>
      <c r="E50" s="16"/>
      <c r="F50" s="3"/>
      <c r="G50" s="3"/>
      <c r="H50" s="3" t="e">
        <f t="shared" si="0"/>
        <v>#N/A</v>
      </c>
      <c r="I50" s="3" t="str">
        <f t="shared" si="1"/>
        <v>00</v>
      </c>
      <c r="J50" s="3" t="str">
        <f t="shared" si="2"/>
        <v>00</v>
      </c>
      <c r="K50" s="11" t="e">
        <f t="shared" si="3"/>
        <v>#N/A</v>
      </c>
      <c r="L50" s="14" t="e">
        <f t="shared" si="4"/>
        <v>#N/A</v>
      </c>
      <c r="M50" s="17" t="str">
        <f t="shared" si="5"/>
        <v/>
      </c>
      <c r="N50" s="18" t="str">
        <f t="shared" si="6"/>
        <v/>
      </c>
      <c r="O50" s="3"/>
      <c r="P50" s="3"/>
      <c r="T50" s="2" t="s">
        <v>141</v>
      </c>
      <c r="U50" s="19"/>
      <c r="V50" s="3" t="str">
        <f t="shared" si="7"/>
        <v/>
      </c>
      <c r="W50" s="34" t="str">
        <f t="shared" si="8"/>
        <v>0</v>
      </c>
    </row>
    <row r="51" spans="1:23" x14ac:dyDescent="0.35">
      <c r="A51" s="1">
        <v>49</v>
      </c>
      <c r="B51" s="15"/>
      <c r="C51" s="16"/>
      <c r="D51" s="16"/>
      <c r="E51" s="16"/>
      <c r="F51" s="3"/>
      <c r="G51" s="3"/>
      <c r="H51" s="3" t="e">
        <f t="shared" si="0"/>
        <v>#N/A</v>
      </c>
      <c r="I51" s="3" t="str">
        <f t="shared" si="1"/>
        <v>00</v>
      </c>
      <c r="J51" s="3" t="str">
        <f t="shared" si="2"/>
        <v>00</v>
      </c>
      <c r="K51" s="11" t="e">
        <f t="shared" si="3"/>
        <v>#N/A</v>
      </c>
      <c r="L51" s="14" t="e">
        <f t="shared" si="4"/>
        <v>#N/A</v>
      </c>
      <c r="M51" s="17" t="str">
        <f t="shared" si="5"/>
        <v/>
      </c>
      <c r="N51" s="18" t="str">
        <f t="shared" si="6"/>
        <v/>
      </c>
      <c r="O51" s="3"/>
      <c r="P51" s="3"/>
      <c r="T51" s="2" t="s">
        <v>141</v>
      </c>
      <c r="U51" s="19"/>
      <c r="V51" s="3" t="str">
        <f t="shared" si="7"/>
        <v/>
      </c>
      <c r="W51" s="34" t="str">
        <f t="shared" si="8"/>
        <v>0</v>
      </c>
    </row>
    <row r="52" spans="1:23" x14ac:dyDescent="0.35">
      <c r="A52" s="1">
        <v>50</v>
      </c>
      <c r="B52" s="15"/>
      <c r="C52" s="16"/>
      <c r="D52" s="16"/>
      <c r="E52" s="16"/>
      <c r="F52" s="3"/>
      <c r="G52" s="3"/>
      <c r="H52" s="3" t="e">
        <f t="shared" si="0"/>
        <v>#N/A</v>
      </c>
      <c r="I52" s="3" t="str">
        <f t="shared" si="1"/>
        <v>00</v>
      </c>
      <c r="J52" s="3" t="str">
        <f t="shared" si="2"/>
        <v>00</v>
      </c>
      <c r="K52" s="11" t="e">
        <f t="shared" si="3"/>
        <v>#N/A</v>
      </c>
      <c r="L52" s="14" t="e">
        <f t="shared" si="4"/>
        <v>#N/A</v>
      </c>
      <c r="M52" s="17" t="str">
        <f t="shared" si="5"/>
        <v/>
      </c>
      <c r="N52" s="18" t="str">
        <f t="shared" si="6"/>
        <v/>
      </c>
      <c r="O52" s="3"/>
      <c r="P52" s="3"/>
      <c r="T52" s="2" t="s">
        <v>141</v>
      </c>
      <c r="U52" s="19"/>
      <c r="V52" s="3" t="str">
        <f t="shared" si="7"/>
        <v/>
      </c>
      <c r="W52" s="34" t="str">
        <f t="shared" si="8"/>
        <v>0</v>
      </c>
    </row>
    <row r="53" spans="1:23" x14ac:dyDescent="0.35">
      <c r="A53" s="1">
        <v>51</v>
      </c>
      <c r="B53" s="15"/>
      <c r="C53" s="16"/>
      <c r="D53" s="16"/>
      <c r="E53" s="16"/>
      <c r="F53" s="3"/>
      <c r="G53" s="3"/>
      <c r="H53" s="3" t="e">
        <f t="shared" si="0"/>
        <v>#N/A</v>
      </c>
      <c r="I53" s="3" t="str">
        <f t="shared" si="1"/>
        <v>00</v>
      </c>
      <c r="J53" s="3" t="str">
        <f t="shared" si="2"/>
        <v>00</v>
      </c>
      <c r="K53" s="11" t="e">
        <f t="shared" si="3"/>
        <v>#N/A</v>
      </c>
      <c r="L53" s="14" t="e">
        <f t="shared" si="4"/>
        <v>#N/A</v>
      </c>
      <c r="M53" s="17" t="str">
        <f t="shared" si="5"/>
        <v/>
      </c>
      <c r="N53" s="18" t="str">
        <f t="shared" si="6"/>
        <v/>
      </c>
      <c r="O53" s="3"/>
      <c r="P53" s="3"/>
      <c r="T53" s="2" t="s">
        <v>141</v>
      </c>
      <c r="U53" s="19"/>
      <c r="V53" s="3" t="str">
        <f t="shared" si="7"/>
        <v/>
      </c>
      <c r="W53" s="34" t="str">
        <f t="shared" si="8"/>
        <v>0</v>
      </c>
    </row>
    <row r="54" spans="1:23" x14ac:dyDescent="0.35">
      <c r="A54" s="1">
        <v>52</v>
      </c>
      <c r="B54" s="15"/>
      <c r="C54" s="16"/>
      <c r="D54" s="16"/>
      <c r="E54" s="16"/>
      <c r="F54" s="3"/>
      <c r="G54" s="3"/>
      <c r="H54" s="3" t="e">
        <f t="shared" si="0"/>
        <v>#N/A</v>
      </c>
      <c r="I54" s="3" t="str">
        <f t="shared" si="1"/>
        <v>00</v>
      </c>
      <c r="J54" s="3" t="str">
        <f t="shared" si="2"/>
        <v>00</v>
      </c>
      <c r="K54" s="11" t="e">
        <f t="shared" si="3"/>
        <v>#N/A</v>
      </c>
      <c r="L54" s="14" t="e">
        <f t="shared" si="4"/>
        <v>#N/A</v>
      </c>
      <c r="M54" s="17" t="str">
        <f t="shared" si="5"/>
        <v/>
      </c>
      <c r="N54" s="18" t="str">
        <f t="shared" si="6"/>
        <v/>
      </c>
      <c r="O54" s="3"/>
      <c r="P54" s="3"/>
      <c r="T54" s="2" t="s">
        <v>141</v>
      </c>
      <c r="U54" s="19"/>
      <c r="V54" s="3" t="str">
        <f t="shared" si="7"/>
        <v/>
      </c>
      <c r="W54" s="34" t="str">
        <f t="shared" si="8"/>
        <v>0</v>
      </c>
    </row>
    <row r="55" spans="1:23" x14ac:dyDescent="0.35">
      <c r="A55" s="1">
        <v>53</v>
      </c>
      <c r="B55" s="15"/>
      <c r="C55" s="16"/>
      <c r="D55" s="16"/>
      <c r="E55" s="16"/>
      <c r="F55" s="3"/>
      <c r="G55" s="3"/>
      <c r="H55" s="3" t="e">
        <f t="shared" si="0"/>
        <v>#N/A</v>
      </c>
      <c r="I55" s="3" t="str">
        <f t="shared" si="1"/>
        <v>00</v>
      </c>
      <c r="J55" s="3" t="str">
        <f t="shared" si="2"/>
        <v>00</v>
      </c>
      <c r="K55" s="11" t="e">
        <f t="shared" si="3"/>
        <v>#N/A</v>
      </c>
      <c r="L55" s="14" t="e">
        <f t="shared" si="4"/>
        <v>#N/A</v>
      </c>
      <c r="M55" s="17" t="str">
        <f t="shared" si="5"/>
        <v/>
      </c>
      <c r="N55" s="18" t="str">
        <f t="shared" si="6"/>
        <v/>
      </c>
      <c r="O55" s="3"/>
      <c r="P55" s="3"/>
      <c r="T55" s="2" t="s">
        <v>141</v>
      </c>
      <c r="U55" s="19"/>
      <c r="V55" s="3" t="str">
        <f t="shared" si="7"/>
        <v/>
      </c>
      <c r="W55" s="34" t="str">
        <f t="shared" si="8"/>
        <v>0</v>
      </c>
    </row>
    <row r="56" spans="1:23" x14ac:dyDescent="0.35">
      <c r="A56" s="1">
        <v>54</v>
      </c>
      <c r="B56" s="15"/>
      <c r="C56" s="16"/>
      <c r="D56" s="16"/>
      <c r="E56" s="16"/>
      <c r="F56" s="3"/>
      <c r="G56" s="3"/>
      <c r="H56" s="3" t="e">
        <f t="shared" si="0"/>
        <v>#N/A</v>
      </c>
      <c r="I56" s="3" t="str">
        <f t="shared" si="1"/>
        <v>00</v>
      </c>
      <c r="J56" s="3" t="str">
        <f t="shared" si="2"/>
        <v>00</v>
      </c>
      <c r="K56" s="11" t="e">
        <f t="shared" si="3"/>
        <v>#N/A</v>
      </c>
      <c r="L56" s="14" t="e">
        <f t="shared" si="4"/>
        <v>#N/A</v>
      </c>
      <c r="M56" s="17" t="str">
        <f t="shared" si="5"/>
        <v/>
      </c>
      <c r="N56" s="18" t="str">
        <f t="shared" si="6"/>
        <v/>
      </c>
      <c r="O56" s="3"/>
      <c r="P56" s="3"/>
      <c r="T56" s="2" t="s">
        <v>141</v>
      </c>
      <c r="U56" s="19"/>
      <c r="V56" s="3" t="str">
        <f t="shared" si="7"/>
        <v/>
      </c>
      <c r="W56" s="34" t="str">
        <f t="shared" si="8"/>
        <v>0</v>
      </c>
    </row>
    <row r="57" spans="1:23" x14ac:dyDescent="0.35">
      <c r="A57" s="1">
        <v>55</v>
      </c>
      <c r="B57" s="15"/>
      <c r="C57" s="16"/>
      <c r="D57" s="16"/>
      <c r="E57" s="16"/>
      <c r="F57" s="3"/>
      <c r="G57" s="3"/>
      <c r="H57" s="3" t="e">
        <f t="shared" si="0"/>
        <v>#N/A</v>
      </c>
      <c r="I57" s="3" t="str">
        <f t="shared" si="1"/>
        <v>00</v>
      </c>
      <c r="J57" s="3" t="str">
        <f t="shared" si="2"/>
        <v>00</v>
      </c>
      <c r="K57" s="11" t="e">
        <f t="shared" si="3"/>
        <v>#N/A</v>
      </c>
      <c r="L57" s="14" t="e">
        <f t="shared" si="4"/>
        <v>#N/A</v>
      </c>
      <c r="M57" s="17" t="str">
        <f t="shared" si="5"/>
        <v/>
      </c>
      <c r="N57" s="18" t="str">
        <f t="shared" si="6"/>
        <v/>
      </c>
      <c r="O57" s="3"/>
      <c r="P57" s="3"/>
      <c r="T57" s="2" t="s">
        <v>141</v>
      </c>
      <c r="U57" s="19"/>
      <c r="V57" s="3" t="str">
        <f t="shared" si="7"/>
        <v/>
      </c>
      <c r="W57" s="34" t="str">
        <f t="shared" si="8"/>
        <v>0</v>
      </c>
    </row>
    <row r="58" spans="1:23" x14ac:dyDescent="0.35">
      <c r="A58" s="1">
        <v>56</v>
      </c>
      <c r="B58" s="15"/>
      <c r="C58" s="16"/>
      <c r="D58" s="16"/>
      <c r="E58" s="16"/>
      <c r="F58" s="3"/>
      <c r="G58" s="3"/>
      <c r="H58" s="3" t="e">
        <f t="shared" si="0"/>
        <v>#N/A</v>
      </c>
      <c r="I58" s="3" t="str">
        <f t="shared" si="1"/>
        <v>00</v>
      </c>
      <c r="J58" s="3" t="str">
        <f t="shared" si="2"/>
        <v>00</v>
      </c>
      <c r="K58" s="11" t="e">
        <f t="shared" si="3"/>
        <v>#N/A</v>
      </c>
      <c r="L58" s="14" t="e">
        <f t="shared" si="4"/>
        <v>#N/A</v>
      </c>
      <c r="M58" s="17" t="str">
        <f t="shared" si="5"/>
        <v/>
      </c>
      <c r="N58" s="18" t="str">
        <f t="shared" si="6"/>
        <v/>
      </c>
      <c r="O58" s="3"/>
      <c r="P58" s="3"/>
      <c r="T58" s="2" t="s">
        <v>141</v>
      </c>
      <c r="U58" s="19"/>
      <c r="V58" s="3" t="str">
        <f t="shared" si="7"/>
        <v/>
      </c>
      <c r="W58" s="34" t="str">
        <f t="shared" si="8"/>
        <v>0</v>
      </c>
    </row>
    <row r="59" spans="1:23" x14ac:dyDescent="0.35">
      <c r="A59" s="1">
        <v>57</v>
      </c>
      <c r="B59" s="15"/>
      <c r="C59" s="16"/>
      <c r="D59" s="16"/>
      <c r="E59" s="16"/>
      <c r="F59" s="3"/>
      <c r="G59" s="3"/>
      <c r="H59" s="3" t="e">
        <f t="shared" si="0"/>
        <v>#N/A</v>
      </c>
      <c r="I59" s="3" t="str">
        <f t="shared" si="1"/>
        <v>00</v>
      </c>
      <c r="J59" s="3" t="str">
        <f t="shared" si="2"/>
        <v>00</v>
      </c>
      <c r="K59" s="11" t="e">
        <f t="shared" si="3"/>
        <v>#N/A</v>
      </c>
      <c r="L59" s="14" t="e">
        <f t="shared" si="4"/>
        <v>#N/A</v>
      </c>
      <c r="M59" s="17" t="str">
        <f t="shared" si="5"/>
        <v/>
      </c>
      <c r="N59" s="18" t="str">
        <f t="shared" si="6"/>
        <v/>
      </c>
      <c r="O59" s="3"/>
      <c r="P59" s="3"/>
      <c r="T59" s="2" t="s">
        <v>141</v>
      </c>
      <c r="U59" s="19"/>
      <c r="V59" s="3" t="str">
        <f t="shared" si="7"/>
        <v/>
      </c>
      <c r="W59" s="34" t="str">
        <f t="shared" si="8"/>
        <v>0</v>
      </c>
    </row>
    <row r="60" spans="1:23" x14ac:dyDescent="0.35">
      <c r="A60" s="1">
        <v>58</v>
      </c>
      <c r="B60" s="15"/>
      <c r="C60" s="16"/>
      <c r="D60" s="16"/>
      <c r="E60" s="16"/>
      <c r="F60" s="3"/>
      <c r="G60" s="3"/>
      <c r="H60" s="3" t="e">
        <f t="shared" si="0"/>
        <v>#N/A</v>
      </c>
      <c r="I60" s="3" t="str">
        <f t="shared" si="1"/>
        <v>00</v>
      </c>
      <c r="J60" s="3" t="str">
        <f t="shared" si="2"/>
        <v>00</v>
      </c>
      <c r="K60" s="11" t="e">
        <f t="shared" si="3"/>
        <v>#N/A</v>
      </c>
      <c r="L60" s="14" t="e">
        <f t="shared" si="4"/>
        <v>#N/A</v>
      </c>
      <c r="M60" s="17" t="str">
        <f t="shared" si="5"/>
        <v/>
      </c>
      <c r="N60" s="18" t="str">
        <f t="shared" si="6"/>
        <v/>
      </c>
      <c r="O60" s="3"/>
      <c r="P60" s="3"/>
      <c r="T60" s="2" t="s">
        <v>141</v>
      </c>
      <c r="U60" s="19"/>
      <c r="V60" s="3" t="str">
        <f t="shared" si="7"/>
        <v/>
      </c>
      <c r="W60" s="34" t="str">
        <f t="shared" si="8"/>
        <v>0</v>
      </c>
    </row>
    <row r="61" spans="1:23" x14ac:dyDescent="0.35">
      <c r="A61" s="1">
        <v>59</v>
      </c>
      <c r="B61" s="15"/>
      <c r="C61" s="16"/>
      <c r="D61" s="16"/>
      <c r="E61" s="16"/>
      <c r="F61" s="3"/>
      <c r="G61" s="3"/>
      <c r="H61" s="3" t="e">
        <f t="shared" si="0"/>
        <v>#N/A</v>
      </c>
      <c r="I61" s="3" t="str">
        <f t="shared" si="1"/>
        <v>00</v>
      </c>
      <c r="J61" s="3" t="str">
        <f t="shared" si="2"/>
        <v>00</v>
      </c>
      <c r="K61" s="11" t="e">
        <f t="shared" si="3"/>
        <v>#N/A</v>
      </c>
      <c r="L61" s="14" t="e">
        <f t="shared" si="4"/>
        <v>#N/A</v>
      </c>
      <c r="M61" s="17" t="str">
        <f t="shared" si="5"/>
        <v/>
      </c>
      <c r="N61" s="18" t="str">
        <f t="shared" si="6"/>
        <v/>
      </c>
      <c r="O61" s="3"/>
      <c r="P61" s="3"/>
      <c r="T61" s="2" t="s">
        <v>141</v>
      </c>
      <c r="U61" s="19"/>
      <c r="V61" s="3" t="str">
        <f t="shared" si="7"/>
        <v/>
      </c>
      <c r="W61" s="34" t="str">
        <f t="shared" si="8"/>
        <v>0</v>
      </c>
    </row>
    <row r="62" spans="1:23" x14ac:dyDescent="0.35">
      <c r="A62" s="1">
        <v>60</v>
      </c>
      <c r="B62" s="15"/>
      <c r="C62" s="16"/>
      <c r="D62" s="16"/>
      <c r="E62" s="16"/>
      <c r="F62" s="3"/>
      <c r="G62" s="3"/>
      <c r="H62" s="3" t="e">
        <f t="shared" si="0"/>
        <v>#N/A</v>
      </c>
      <c r="I62" s="3" t="str">
        <f t="shared" si="1"/>
        <v>00</v>
      </c>
      <c r="J62" s="3" t="str">
        <f t="shared" si="2"/>
        <v>00</v>
      </c>
      <c r="K62" s="11" t="e">
        <f t="shared" si="3"/>
        <v>#N/A</v>
      </c>
      <c r="L62" s="14" t="e">
        <f t="shared" si="4"/>
        <v>#N/A</v>
      </c>
      <c r="M62" s="17" t="str">
        <f t="shared" si="5"/>
        <v/>
      </c>
      <c r="N62" s="18" t="str">
        <f t="shared" si="6"/>
        <v/>
      </c>
      <c r="O62" s="3"/>
      <c r="P62" s="3"/>
      <c r="T62" s="2" t="s">
        <v>141</v>
      </c>
      <c r="U62" s="19"/>
      <c r="V62" s="3" t="str">
        <f t="shared" si="7"/>
        <v/>
      </c>
      <c r="W62" s="34" t="str">
        <f t="shared" si="8"/>
        <v>0</v>
      </c>
    </row>
    <row r="63" spans="1:23" x14ac:dyDescent="0.35">
      <c r="A63" s="1">
        <v>61</v>
      </c>
      <c r="B63" s="15"/>
      <c r="C63" s="16"/>
      <c r="D63" s="16"/>
      <c r="E63" s="16"/>
      <c r="F63" s="3"/>
      <c r="G63" s="3"/>
      <c r="H63" s="3" t="e">
        <f t="shared" si="0"/>
        <v>#N/A</v>
      </c>
      <c r="I63" s="3" t="str">
        <f t="shared" si="1"/>
        <v>00</v>
      </c>
      <c r="J63" s="3" t="str">
        <f t="shared" si="2"/>
        <v>00</v>
      </c>
      <c r="K63" s="11" t="e">
        <f t="shared" si="3"/>
        <v>#N/A</v>
      </c>
      <c r="L63" s="14" t="e">
        <f t="shared" si="4"/>
        <v>#N/A</v>
      </c>
      <c r="M63" s="17" t="str">
        <f t="shared" si="5"/>
        <v/>
      </c>
      <c r="N63" s="18" t="str">
        <f t="shared" si="6"/>
        <v/>
      </c>
      <c r="O63" s="3"/>
      <c r="P63" s="3"/>
      <c r="T63" s="2" t="s">
        <v>141</v>
      </c>
      <c r="U63" s="19"/>
      <c r="V63" s="3" t="str">
        <f t="shared" si="7"/>
        <v/>
      </c>
      <c r="W63" s="34" t="str">
        <f t="shared" si="8"/>
        <v>0</v>
      </c>
    </row>
    <row r="64" spans="1:23" x14ac:dyDescent="0.35">
      <c r="A64" s="1">
        <v>62</v>
      </c>
      <c r="B64" s="15"/>
      <c r="C64" s="16"/>
      <c r="D64" s="16"/>
      <c r="E64" s="16"/>
      <c r="F64" s="3"/>
      <c r="G64" s="3"/>
      <c r="H64" s="3" t="e">
        <f t="shared" si="0"/>
        <v>#N/A</v>
      </c>
      <c r="I64" s="3" t="str">
        <f t="shared" si="1"/>
        <v>00</v>
      </c>
      <c r="J64" s="3" t="str">
        <f t="shared" si="2"/>
        <v>00</v>
      </c>
      <c r="K64" s="11" t="e">
        <f t="shared" si="3"/>
        <v>#N/A</v>
      </c>
      <c r="L64" s="14" t="e">
        <f t="shared" si="4"/>
        <v>#N/A</v>
      </c>
      <c r="M64" s="17" t="str">
        <f t="shared" si="5"/>
        <v/>
      </c>
      <c r="N64" s="18" t="str">
        <f t="shared" si="6"/>
        <v/>
      </c>
      <c r="O64" s="3"/>
      <c r="P64" s="3"/>
      <c r="T64" s="2" t="s">
        <v>141</v>
      </c>
      <c r="U64" s="19"/>
      <c r="V64" s="3" t="str">
        <f t="shared" si="7"/>
        <v/>
      </c>
      <c r="W64" s="34" t="str">
        <f t="shared" si="8"/>
        <v>0</v>
      </c>
    </row>
    <row r="65" spans="1:23" x14ac:dyDescent="0.35">
      <c r="A65" s="1">
        <v>63</v>
      </c>
      <c r="B65" s="15"/>
      <c r="C65" s="16"/>
      <c r="D65" s="16"/>
      <c r="E65" s="16"/>
      <c r="F65" s="3"/>
      <c r="G65" s="3"/>
      <c r="H65" s="3" t="e">
        <f t="shared" si="0"/>
        <v>#N/A</v>
      </c>
      <c r="I65" s="3" t="str">
        <f t="shared" si="1"/>
        <v>00</v>
      </c>
      <c r="J65" s="3" t="str">
        <f t="shared" si="2"/>
        <v>00</v>
      </c>
      <c r="K65" s="11" t="e">
        <f t="shared" si="3"/>
        <v>#N/A</v>
      </c>
      <c r="L65" s="14" t="e">
        <f t="shared" si="4"/>
        <v>#N/A</v>
      </c>
      <c r="M65" s="17" t="str">
        <f t="shared" si="5"/>
        <v/>
      </c>
      <c r="N65" s="18" t="str">
        <f t="shared" si="6"/>
        <v/>
      </c>
      <c r="O65" s="3"/>
      <c r="P65" s="3"/>
      <c r="T65" s="2" t="s">
        <v>141</v>
      </c>
      <c r="U65" s="19"/>
      <c r="V65" s="3" t="str">
        <f t="shared" si="7"/>
        <v/>
      </c>
      <c r="W65" s="34" t="str">
        <f t="shared" si="8"/>
        <v>0</v>
      </c>
    </row>
    <row r="66" spans="1:23" x14ac:dyDescent="0.35">
      <c r="A66" s="1">
        <v>64</v>
      </c>
      <c r="B66" s="15"/>
      <c r="C66" s="16"/>
      <c r="D66" s="16"/>
      <c r="E66" s="16"/>
      <c r="F66" s="3"/>
      <c r="G66" s="3"/>
      <c r="H66" s="3" t="e">
        <f t="shared" si="0"/>
        <v>#N/A</v>
      </c>
      <c r="I66" s="3" t="str">
        <f t="shared" si="1"/>
        <v>00</v>
      </c>
      <c r="J66" s="3" t="str">
        <f t="shared" si="2"/>
        <v>00</v>
      </c>
      <c r="K66" s="11" t="e">
        <f t="shared" si="3"/>
        <v>#N/A</v>
      </c>
      <c r="L66" s="14" t="e">
        <f t="shared" si="4"/>
        <v>#N/A</v>
      </c>
      <c r="M66" s="17" t="str">
        <f t="shared" si="5"/>
        <v/>
      </c>
      <c r="N66" s="18" t="str">
        <f t="shared" si="6"/>
        <v/>
      </c>
      <c r="O66" s="3"/>
      <c r="P66" s="3"/>
      <c r="T66" s="2" t="s">
        <v>141</v>
      </c>
      <c r="U66" s="19"/>
      <c r="V66" s="3" t="str">
        <f t="shared" si="7"/>
        <v/>
      </c>
      <c r="W66" s="34" t="str">
        <f t="shared" si="8"/>
        <v>0</v>
      </c>
    </row>
    <row r="67" spans="1:23" x14ac:dyDescent="0.35">
      <c r="A67" s="1">
        <v>65</v>
      </c>
      <c r="B67" s="15"/>
      <c r="C67" s="16"/>
      <c r="D67" s="16"/>
      <c r="E67" s="16"/>
      <c r="F67" s="3"/>
      <c r="G67" s="3"/>
      <c r="H67" s="3" t="e">
        <f t="shared" ref="H67:H130" si="9">VLOOKUP(B67,$F$2:$G$39,2,FALSE)</f>
        <v>#N/A</v>
      </c>
      <c r="I67" s="3" t="str">
        <f t="shared" ref="I67:I130" si="10">IF(ISERROR(VLOOKUP(C67,F:G,2,FALSE)),"00",(VLOOKUP(C67,F:G,2,FALSE)))</f>
        <v>00</v>
      </c>
      <c r="J67" s="3" t="str">
        <f t="shared" ref="J67:J130" si="11">IF(ISERROR(VLOOKUP(D67,F:G,2,FALSE)),"00",(VLOOKUP(D67,F:G,2,FALSE)))</f>
        <v>00</v>
      </c>
      <c r="K67" s="11" t="e">
        <f t="shared" si="3"/>
        <v>#N/A</v>
      </c>
      <c r="L67" s="14" t="e">
        <f t="shared" ref="L67:L130" si="12">IF(LEN(K67)&gt;8,H67,K67)</f>
        <v>#N/A</v>
      </c>
      <c r="M67" s="17" t="str">
        <f t="shared" ref="M67:M130" si="13">IF(ISERROR(VLOOKUP(L67,L:L,1,FALSE)),"",(VLOOKUP(L67,L:L,1,FALSE)))</f>
        <v/>
      </c>
      <c r="N67" s="18" t="str">
        <f t="shared" ref="N67:N130" si="14">IF(ISERROR(VLOOKUP(E67,E:E,1,FALSE)),"",(VLOOKUP(E67,E:E,1,FALSE)))</f>
        <v/>
      </c>
      <c r="O67" s="3"/>
      <c r="P67" s="3"/>
      <c r="T67" s="2" t="s">
        <v>141</v>
      </c>
      <c r="U67" s="19"/>
      <c r="V67" s="3" t="str">
        <f t="shared" si="7"/>
        <v/>
      </c>
      <c r="W67" s="34" t="str">
        <f t="shared" si="8"/>
        <v>0</v>
      </c>
    </row>
    <row r="68" spans="1:23" x14ac:dyDescent="0.35">
      <c r="A68" s="1">
        <v>66</v>
      </c>
      <c r="B68" s="15"/>
      <c r="C68" s="16"/>
      <c r="D68" s="16"/>
      <c r="E68" s="16"/>
      <c r="F68" s="3"/>
      <c r="G68" s="3"/>
      <c r="H68" s="3" t="e">
        <f t="shared" si="9"/>
        <v>#N/A</v>
      </c>
      <c r="I68" s="3" t="str">
        <f t="shared" si="10"/>
        <v>00</v>
      </c>
      <c r="J68" s="3" t="str">
        <f t="shared" si="11"/>
        <v>00</v>
      </c>
      <c r="K68" s="11" t="e">
        <f t="shared" ref="K68:K131" si="15">CONCATENATE(H68,I68,J68)</f>
        <v>#N/A</v>
      </c>
      <c r="L68" s="14" t="e">
        <f t="shared" si="12"/>
        <v>#N/A</v>
      </c>
      <c r="M68" s="17" t="str">
        <f t="shared" si="13"/>
        <v/>
      </c>
      <c r="N68" s="18" t="str">
        <f t="shared" si="14"/>
        <v/>
      </c>
      <c r="O68" s="3"/>
      <c r="P68" s="3"/>
      <c r="T68" s="2" t="s">
        <v>141</v>
      </c>
      <c r="U68" s="19"/>
      <c r="V68" s="3" t="str">
        <f t="shared" ref="V68:V131" si="16">IF(ISERROR(VLOOKUP(U67,U:U,1,FALSE)),"",(VLOOKUP(U67,U:U,1,FALSE)))</f>
        <v/>
      </c>
      <c r="W68" s="34" t="str">
        <f t="shared" ref="W68:W131" si="17">BIN2HEX(V68)</f>
        <v>0</v>
      </c>
    </row>
    <row r="69" spans="1:23" x14ac:dyDescent="0.35">
      <c r="A69" s="1">
        <v>67</v>
      </c>
      <c r="B69" s="15"/>
      <c r="C69" s="16"/>
      <c r="D69" s="16"/>
      <c r="E69" s="16"/>
      <c r="F69" s="3"/>
      <c r="G69" s="3"/>
      <c r="H69" s="3" t="e">
        <f t="shared" si="9"/>
        <v>#N/A</v>
      </c>
      <c r="I69" s="3" t="str">
        <f t="shared" si="10"/>
        <v>00</v>
      </c>
      <c r="J69" s="3" t="str">
        <f t="shared" si="11"/>
        <v>00</v>
      </c>
      <c r="K69" s="11" t="e">
        <f t="shared" si="15"/>
        <v>#N/A</v>
      </c>
      <c r="L69" s="14" t="e">
        <f t="shared" si="12"/>
        <v>#N/A</v>
      </c>
      <c r="M69" s="17" t="str">
        <f t="shared" si="13"/>
        <v/>
      </c>
      <c r="N69" s="18" t="str">
        <f t="shared" si="14"/>
        <v/>
      </c>
      <c r="O69" s="3"/>
      <c r="P69" s="3"/>
      <c r="T69" s="2" t="s">
        <v>141</v>
      </c>
      <c r="U69" s="19"/>
      <c r="V69" s="3" t="str">
        <f t="shared" si="16"/>
        <v/>
      </c>
      <c r="W69" s="34" t="str">
        <f t="shared" si="17"/>
        <v>0</v>
      </c>
    </row>
    <row r="70" spans="1:23" x14ac:dyDescent="0.35">
      <c r="A70" s="1">
        <v>68</v>
      </c>
      <c r="B70" s="15"/>
      <c r="C70" s="16"/>
      <c r="D70" s="16"/>
      <c r="E70" s="16"/>
      <c r="F70" s="3"/>
      <c r="G70" s="3"/>
      <c r="H70" s="3" t="e">
        <f t="shared" si="9"/>
        <v>#N/A</v>
      </c>
      <c r="I70" s="3" t="str">
        <f t="shared" si="10"/>
        <v>00</v>
      </c>
      <c r="J70" s="3" t="str">
        <f t="shared" si="11"/>
        <v>00</v>
      </c>
      <c r="K70" s="11" t="e">
        <f t="shared" si="15"/>
        <v>#N/A</v>
      </c>
      <c r="L70" s="14" t="e">
        <f t="shared" si="12"/>
        <v>#N/A</v>
      </c>
      <c r="M70" s="17" t="str">
        <f t="shared" si="13"/>
        <v/>
      </c>
      <c r="N70" s="18" t="str">
        <f t="shared" si="14"/>
        <v/>
      </c>
      <c r="O70" s="3"/>
      <c r="P70" s="3"/>
      <c r="T70" s="2" t="s">
        <v>141</v>
      </c>
      <c r="U70" s="19"/>
      <c r="V70" s="3" t="str">
        <f t="shared" si="16"/>
        <v/>
      </c>
      <c r="W70" s="34" t="str">
        <f t="shared" si="17"/>
        <v>0</v>
      </c>
    </row>
    <row r="71" spans="1:23" x14ac:dyDescent="0.35">
      <c r="A71" s="1">
        <v>69</v>
      </c>
      <c r="B71" s="15"/>
      <c r="C71" s="16"/>
      <c r="D71" s="16"/>
      <c r="E71" s="16"/>
      <c r="F71" s="3"/>
      <c r="G71" s="3"/>
      <c r="H71" s="3" t="e">
        <f t="shared" si="9"/>
        <v>#N/A</v>
      </c>
      <c r="I71" s="3" t="str">
        <f t="shared" si="10"/>
        <v>00</v>
      </c>
      <c r="J71" s="3" t="str">
        <f t="shared" si="11"/>
        <v>00</v>
      </c>
      <c r="K71" s="11" t="e">
        <f t="shared" si="15"/>
        <v>#N/A</v>
      </c>
      <c r="L71" s="14" t="e">
        <f t="shared" si="12"/>
        <v>#N/A</v>
      </c>
      <c r="M71" s="17" t="str">
        <f t="shared" si="13"/>
        <v/>
      </c>
      <c r="N71" s="18" t="str">
        <f t="shared" si="14"/>
        <v/>
      </c>
      <c r="O71" s="3"/>
      <c r="P71" s="3"/>
      <c r="T71" s="2" t="s">
        <v>141</v>
      </c>
      <c r="U71" s="19"/>
      <c r="V71" s="3" t="str">
        <f t="shared" si="16"/>
        <v/>
      </c>
      <c r="W71" s="34" t="str">
        <f t="shared" si="17"/>
        <v>0</v>
      </c>
    </row>
    <row r="72" spans="1:23" x14ac:dyDescent="0.35">
      <c r="A72" s="1">
        <v>70</v>
      </c>
      <c r="B72" s="15"/>
      <c r="C72" s="16"/>
      <c r="D72" s="16"/>
      <c r="E72" s="16"/>
      <c r="F72" s="3"/>
      <c r="G72" s="3"/>
      <c r="H72" s="3" t="e">
        <f t="shared" si="9"/>
        <v>#N/A</v>
      </c>
      <c r="I72" s="3" t="str">
        <f t="shared" si="10"/>
        <v>00</v>
      </c>
      <c r="J72" s="3" t="str">
        <f t="shared" si="11"/>
        <v>00</v>
      </c>
      <c r="K72" s="11" t="e">
        <f t="shared" si="15"/>
        <v>#N/A</v>
      </c>
      <c r="L72" s="14" t="e">
        <f t="shared" si="12"/>
        <v>#N/A</v>
      </c>
      <c r="M72" s="17" t="str">
        <f t="shared" si="13"/>
        <v/>
      </c>
      <c r="N72" s="18" t="str">
        <f t="shared" si="14"/>
        <v/>
      </c>
      <c r="O72" s="3"/>
      <c r="P72" s="3"/>
      <c r="T72" s="2" t="s">
        <v>141</v>
      </c>
      <c r="U72" s="19"/>
      <c r="V72" s="3" t="str">
        <f t="shared" si="16"/>
        <v/>
      </c>
      <c r="W72" s="34" t="str">
        <f t="shared" si="17"/>
        <v>0</v>
      </c>
    </row>
    <row r="73" spans="1:23" x14ac:dyDescent="0.35">
      <c r="A73" s="1">
        <v>71</v>
      </c>
      <c r="B73" s="15"/>
      <c r="C73" s="16"/>
      <c r="D73" s="16"/>
      <c r="E73" s="16"/>
      <c r="F73" s="3"/>
      <c r="G73" s="3"/>
      <c r="H73" s="3" t="e">
        <f t="shared" si="9"/>
        <v>#N/A</v>
      </c>
      <c r="I73" s="3" t="str">
        <f t="shared" si="10"/>
        <v>00</v>
      </c>
      <c r="J73" s="3" t="str">
        <f t="shared" si="11"/>
        <v>00</v>
      </c>
      <c r="K73" s="11" t="e">
        <f t="shared" si="15"/>
        <v>#N/A</v>
      </c>
      <c r="L73" s="14" t="e">
        <f t="shared" si="12"/>
        <v>#N/A</v>
      </c>
      <c r="M73" s="17" t="str">
        <f t="shared" si="13"/>
        <v/>
      </c>
      <c r="N73" s="18" t="str">
        <f t="shared" si="14"/>
        <v/>
      </c>
      <c r="O73" s="3"/>
      <c r="P73" s="3"/>
      <c r="T73" s="2" t="s">
        <v>141</v>
      </c>
      <c r="U73" s="19"/>
      <c r="V73" s="3" t="str">
        <f t="shared" si="16"/>
        <v/>
      </c>
      <c r="W73" s="34" t="str">
        <f t="shared" si="17"/>
        <v>0</v>
      </c>
    </row>
    <row r="74" spans="1:23" x14ac:dyDescent="0.35">
      <c r="A74" s="1">
        <v>72</v>
      </c>
      <c r="B74" s="15"/>
      <c r="C74" s="16"/>
      <c r="D74" s="16"/>
      <c r="E74" s="16"/>
      <c r="F74" s="3"/>
      <c r="G74" s="3"/>
      <c r="H74" s="3" t="e">
        <f t="shared" si="9"/>
        <v>#N/A</v>
      </c>
      <c r="I74" s="3" t="str">
        <f t="shared" si="10"/>
        <v>00</v>
      </c>
      <c r="J74" s="3" t="str">
        <f t="shared" si="11"/>
        <v>00</v>
      </c>
      <c r="K74" s="11" t="e">
        <f t="shared" si="15"/>
        <v>#N/A</v>
      </c>
      <c r="L74" s="14" t="e">
        <f t="shared" si="12"/>
        <v>#N/A</v>
      </c>
      <c r="M74" s="17" t="str">
        <f t="shared" si="13"/>
        <v/>
      </c>
      <c r="N74" s="18" t="str">
        <f t="shared" si="14"/>
        <v/>
      </c>
      <c r="O74" s="3"/>
      <c r="P74" s="3"/>
      <c r="T74" s="2" t="s">
        <v>141</v>
      </c>
      <c r="U74" s="19"/>
      <c r="V74" s="3" t="str">
        <f t="shared" si="16"/>
        <v/>
      </c>
      <c r="W74" s="34" t="str">
        <f t="shared" si="17"/>
        <v>0</v>
      </c>
    </row>
    <row r="75" spans="1:23" x14ac:dyDescent="0.35">
      <c r="A75" s="1">
        <v>73</v>
      </c>
      <c r="B75" s="15"/>
      <c r="C75" s="16"/>
      <c r="D75" s="16"/>
      <c r="E75" s="16"/>
      <c r="F75" s="3"/>
      <c r="G75" s="3"/>
      <c r="H75" s="3" t="e">
        <f t="shared" si="9"/>
        <v>#N/A</v>
      </c>
      <c r="I75" s="3" t="str">
        <f t="shared" si="10"/>
        <v>00</v>
      </c>
      <c r="J75" s="3" t="str">
        <f t="shared" si="11"/>
        <v>00</v>
      </c>
      <c r="K75" s="11" t="e">
        <f t="shared" si="15"/>
        <v>#N/A</v>
      </c>
      <c r="L75" s="14" t="e">
        <f t="shared" si="12"/>
        <v>#N/A</v>
      </c>
      <c r="M75" s="17" t="str">
        <f t="shared" si="13"/>
        <v/>
      </c>
      <c r="N75" s="18" t="str">
        <f t="shared" si="14"/>
        <v/>
      </c>
      <c r="O75" s="3"/>
      <c r="P75" s="3"/>
      <c r="T75" s="2" t="s">
        <v>141</v>
      </c>
      <c r="U75" s="19"/>
      <c r="V75" s="3" t="str">
        <f t="shared" si="16"/>
        <v/>
      </c>
      <c r="W75" s="34" t="str">
        <f t="shared" si="17"/>
        <v>0</v>
      </c>
    </row>
    <row r="76" spans="1:23" x14ac:dyDescent="0.35">
      <c r="A76" s="1">
        <v>74</v>
      </c>
      <c r="B76" s="15"/>
      <c r="C76" s="16"/>
      <c r="D76" s="16"/>
      <c r="E76" s="16"/>
      <c r="F76" s="3"/>
      <c r="G76" s="3"/>
      <c r="H76" s="3" t="e">
        <f t="shared" si="9"/>
        <v>#N/A</v>
      </c>
      <c r="I76" s="3" t="str">
        <f t="shared" si="10"/>
        <v>00</v>
      </c>
      <c r="J76" s="3" t="str">
        <f t="shared" si="11"/>
        <v>00</v>
      </c>
      <c r="K76" s="11" t="e">
        <f t="shared" si="15"/>
        <v>#N/A</v>
      </c>
      <c r="L76" s="14" t="e">
        <f t="shared" si="12"/>
        <v>#N/A</v>
      </c>
      <c r="M76" s="17" t="str">
        <f t="shared" si="13"/>
        <v/>
      </c>
      <c r="N76" s="18" t="str">
        <f t="shared" si="14"/>
        <v/>
      </c>
      <c r="O76" s="3"/>
      <c r="P76" s="3"/>
      <c r="T76" s="2" t="s">
        <v>141</v>
      </c>
      <c r="U76" s="19"/>
      <c r="V76" s="3" t="str">
        <f t="shared" si="16"/>
        <v/>
      </c>
      <c r="W76" s="34" t="str">
        <f t="shared" si="17"/>
        <v>0</v>
      </c>
    </row>
    <row r="77" spans="1:23" x14ac:dyDescent="0.35">
      <c r="A77" s="1">
        <v>75</v>
      </c>
      <c r="B77" s="15"/>
      <c r="C77" s="16"/>
      <c r="D77" s="16"/>
      <c r="E77" s="16"/>
      <c r="F77" s="3"/>
      <c r="G77" s="3"/>
      <c r="H77" s="3" t="e">
        <f t="shared" si="9"/>
        <v>#N/A</v>
      </c>
      <c r="I77" s="3" t="str">
        <f t="shared" si="10"/>
        <v>00</v>
      </c>
      <c r="J77" s="3" t="str">
        <f t="shared" si="11"/>
        <v>00</v>
      </c>
      <c r="K77" s="11" t="e">
        <f t="shared" si="15"/>
        <v>#N/A</v>
      </c>
      <c r="L77" s="14" t="e">
        <f t="shared" si="12"/>
        <v>#N/A</v>
      </c>
      <c r="M77" s="17" t="str">
        <f t="shared" si="13"/>
        <v/>
      </c>
      <c r="N77" s="18" t="str">
        <f t="shared" si="14"/>
        <v/>
      </c>
      <c r="O77" s="3"/>
      <c r="P77" s="3"/>
      <c r="T77" s="2" t="s">
        <v>141</v>
      </c>
      <c r="U77" s="19"/>
      <c r="V77" s="3" t="str">
        <f t="shared" si="16"/>
        <v/>
      </c>
      <c r="W77" s="34" t="str">
        <f t="shared" si="17"/>
        <v>0</v>
      </c>
    </row>
    <row r="78" spans="1:23" x14ac:dyDescent="0.35">
      <c r="A78" s="1">
        <v>76</v>
      </c>
      <c r="B78" s="15"/>
      <c r="C78" s="16"/>
      <c r="D78" s="16"/>
      <c r="E78" s="16"/>
      <c r="F78" s="3"/>
      <c r="G78" s="3"/>
      <c r="H78" s="3" t="e">
        <f t="shared" si="9"/>
        <v>#N/A</v>
      </c>
      <c r="I78" s="3" t="str">
        <f t="shared" si="10"/>
        <v>00</v>
      </c>
      <c r="J78" s="3" t="str">
        <f t="shared" si="11"/>
        <v>00</v>
      </c>
      <c r="K78" s="11" t="e">
        <f t="shared" si="15"/>
        <v>#N/A</v>
      </c>
      <c r="L78" s="14" t="e">
        <f t="shared" si="12"/>
        <v>#N/A</v>
      </c>
      <c r="M78" s="17" t="str">
        <f t="shared" si="13"/>
        <v/>
      </c>
      <c r="N78" s="18" t="str">
        <f t="shared" si="14"/>
        <v/>
      </c>
      <c r="O78" s="3"/>
      <c r="P78" s="3"/>
      <c r="T78" s="2" t="s">
        <v>141</v>
      </c>
      <c r="U78" s="19"/>
      <c r="V78" s="3" t="str">
        <f t="shared" si="16"/>
        <v/>
      </c>
      <c r="W78" s="34" t="str">
        <f t="shared" si="17"/>
        <v>0</v>
      </c>
    </row>
    <row r="79" spans="1:23" x14ac:dyDescent="0.35">
      <c r="A79" s="1">
        <v>77</v>
      </c>
      <c r="B79" s="15"/>
      <c r="C79" s="16"/>
      <c r="D79" s="16"/>
      <c r="E79" s="16"/>
      <c r="F79" s="3"/>
      <c r="G79" s="3"/>
      <c r="H79" s="3" t="e">
        <f t="shared" si="9"/>
        <v>#N/A</v>
      </c>
      <c r="I79" s="3" t="str">
        <f t="shared" si="10"/>
        <v>00</v>
      </c>
      <c r="J79" s="3" t="str">
        <f t="shared" si="11"/>
        <v>00</v>
      </c>
      <c r="K79" s="11" t="e">
        <f t="shared" si="15"/>
        <v>#N/A</v>
      </c>
      <c r="L79" s="14" t="e">
        <f t="shared" si="12"/>
        <v>#N/A</v>
      </c>
      <c r="M79" s="17" t="str">
        <f t="shared" si="13"/>
        <v/>
      </c>
      <c r="N79" s="18" t="str">
        <f t="shared" si="14"/>
        <v/>
      </c>
      <c r="O79" s="3"/>
      <c r="P79" s="3"/>
      <c r="T79" s="2" t="s">
        <v>141</v>
      </c>
      <c r="U79" s="19"/>
      <c r="V79" s="3" t="str">
        <f t="shared" si="16"/>
        <v/>
      </c>
      <c r="W79" s="34" t="str">
        <f t="shared" si="17"/>
        <v>0</v>
      </c>
    </row>
    <row r="80" spans="1:23" x14ac:dyDescent="0.35">
      <c r="A80" s="1">
        <v>78</v>
      </c>
      <c r="B80" s="15"/>
      <c r="C80" s="16"/>
      <c r="D80" s="16"/>
      <c r="E80" s="16"/>
      <c r="F80" s="3"/>
      <c r="G80" s="3"/>
      <c r="H80" s="3" t="e">
        <f t="shared" si="9"/>
        <v>#N/A</v>
      </c>
      <c r="I80" s="3" t="str">
        <f t="shared" si="10"/>
        <v>00</v>
      </c>
      <c r="J80" s="3" t="str">
        <f t="shared" si="11"/>
        <v>00</v>
      </c>
      <c r="K80" s="11" t="e">
        <f t="shared" si="15"/>
        <v>#N/A</v>
      </c>
      <c r="L80" s="14" t="e">
        <f t="shared" si="12"/>
        <v>#N/A</v>
      </c>
      <c r="M80" s="17" t="str">
        <f t="shared" si="13"/>
        <v/>
      </c>
      <c r="N80" s="18" t="str">
        <f t="shared" si="14"/>
        <v/>
      </c>
      <c r="O80" s="3"/>
      <c r="P80" s="3"/>
      <c r="T80" s="2" t="s">
        <v>141</v>
      </c>
      <c r="U80" s="19"/>
      <c r="V80" s="3" t="str">
        <f t="shared" si="16"/>
        <v/>
      </c>
      <c r="W80" s="34" t="str">
        <f t="shared" si="17"/>
        <v>0</v>
      </c>
    </row>
    <row r="81" spans="1:23" x14ac:dyDescent="0.35">
      <c r="A81" s="1">
        <v>79</v>
      </c>
      <c r="B81" s="15"/>
      <c r="C81" s="16"/>
      <c r="D81" s="16"/>
      <c r="E81" s="16"/>
      <c r="F81" s="3"/>
      <c r="G81" s="3"/>
      <c r="H81" s="3" t="e">
        <f t="shared" si="9"/>
        <v>#N/A</v>
      </c>
      <c r="I81" s="3" t="str">
        <f t="shared" si="10"/>
        <v>00</v>
      </c>
      <c r="J81" s="3" t="str">
        <f t="shared" si="11"/>
        <v>00</v>
      </c>
      <c r="K81" s="11" t="e">
        <f t="shared" si="15"/>
        <v>#N/A</v>
      </c>
      <c r="L81" s="14" t="e">
        <f t="shared" si="12"/>
        <v>#N/A</v>
      </c>
      <c r="M81" s="17" t="str">
        <f t="shared" si="13"/>
        <v/>
      </c>
      <c r="N81" s="18" t="str">
        <f t="shared" si="14"/>
        <v/>
      </c>
      <c r="O81" s="3"/>
      <c r="P81" s="3"/>
      <c r="T81" s="2" t="s">
        <v>141</v>
      </c>
      <c r="U81" s="19"/>
      <c r="V81" s="3" t="str">
        <f t="shared" si="16"/>
        <v/>
      </c>
      <c r="W81" s="34" t="str">
        <f t="shared" si="17"/>
        <v>0</v>
      </c>
    </row>
    <row r="82" spans="1:23" x14ac:dyDescent="0.35">
      <c r="A82" s="1">
        <v>80</v>
      </c>
      <c r="B82" s="15"/>
      <c r="C82" s="16"/>
      <c r="D82" s="16"/>
      <c r="E82" s="16"/>
      <c r="F82" s="3"/>
      <c r="G82" s="3"/>
      <c r="H82" s="3" t="e">
        <f t="shared" si="9"/>
        <v>#N/A</v>
      </c>
      <c r="I82" s="3" t="str">
        <f t="shared" si="10"/>
        <v>00</v>
      </c>
      <c r="J82" s="3" t="str">
        <f t="shared" si="11"/>
        <v>00</v>
      </c>
      <c r="K82" s="11" t="e">
        <f t="shared" si="15"/>
        <v>#N/A</v>
      </c>
      <c r="L82" s="14" t="e">
        <f t="shared" si="12"/>
        <v>#N/A</v>
      </c>
      <c r="M82" s="17" t="str">
        <f t="shared" si="13"/>
        <v/>
      </c>
      <c r="N82" s="18" t="str">
        <f t="shared" si="14"/>
        <v/>
      </c>
      <c r="O82" s="3"/>
      <c r="P82" s="3"/>
      <c r="T82" s="2" t="s">
        <v>141</v>
      </c>
      <c r="U82" s="19"/>
      <c r="V82" s="3" t="str">
        <f t="shared" si="16"/>
        <v/>
      </c>
      <c r="W82" s="34" t="str">
        <f t="shared" si="17"/>
        <v>0</v>
      </c>
    </row>
    <row r="83" spans="1:23" x14ac:dyDescent="0.35">
      <c r="A83" s="1">
        <v>81</v>
      </c>
      <c r="B83" s="15"/>
      <c r="C83" s="16"/>
      <c r="D83" s="16"/>
      <c r="E83" s="16"/>
      <c r="F83" s="3"/>
      <c r="G83" s="3"/>
      <c r="H83" s="3" t="e">
        <f t="shared" si="9"/>
        <v>#N/A</v>
      </c>
      <c r="I83" s="3" t="str">
        <f t="shared" si="10"/>
        <v>00</v>
      </c>
      <c r="J83" s="3" t="str">
        <f t="shared" si="11"/>
        <v>00</v>
      </c>
      <c r="K83" s="11" t="e">
        <f t="shared" si="15"/>
        <v>#N/A</v>
      </c>
      <c r="L83" s="14" t="e">
        <f t="shared" si="12"/>
        <v>#N/A</v>
      </c>
      <c r="M83" s="17" t="str">
        <f t="shared" si="13"/>
        <v/>
      </c>
      <c r="N83" s="18" t="str">
        <f t="shared" si="14"/>
        <v/>
      </c>
      <c r="O83" s="3"/>
      <c r="P83" s="3"/>
      <c r="T83" s="2" t="s">
        <v>141</v>
      </c>
      <c r="U83" s="19"/>
      <c r="V83" s="3" t="str">
        <f t="shared" si="16"/>
        <v/>
      </c>
      <c r="W83" s="34" t="str">
        <f t="shared" si="17"/>
        <v>0</v>
      </c>
    </row>
    <row r="84" spans="1:23" x14ac:dyDescent="0.35">
      <c r="A84" s="1">
        <v>82</v>
      </c>
      <c r="B84" s="15"/>
      <c r="C84" s="16"/>
      <c r="D84" s="16"/>
      <c r="E84" s="16"/>
      <c r="F84" s="3"/>
      <c r="G84" s="3"/>
      <c r="H84" s="3" t="e">
        <f t="shared" si="9"/>
        <v>#N/A</v>
      </c>
      <c r="I84" s="3" t="str">
        <f t="shared" si="10"/>
        <v>00</v>
      </c>
      <c r="J84" s="3" t="str">
        <f t="shared" si="11"/>
        <v>00</v>
      </c>
      <c r="K84" s="11" t="e">
        <f t="shared" si="15"/>
        <v>#N/A</v>
      </c>
      <c r="L84" s="14" t="e">
        <f t="shared" si="12"/>
        <v>#N/A</v>
      </c>
      <c r="M84" s="17" t="str">
        <f t="shared" si="13"/>
        <v/>
      </c>
      <c r="N84" s="18" t="str">
        <f t="shared" si="14"/>
        <v/>
      </c>
      <c r="O84" s="3"/>
      <c r="P84" s="3"/>
      <c r="T84" s="2" t="s">
        <v>141</v>
      </c>
      <c r="U84" s="19"/>
      <c r="V84" s="3" t="str">
        <f t="shared" si="16"/>
        <v/>
      </c>
      <c r="W84" s="34" t="str">
        <f t="shared" si="17"/>
        <v>0</v>
      </c>
    </row>
    <row r="85" spans="1:23" x14ac:dyDescent="0.35">
      <c r="A85" s="1">
        <v>83</v>
      </c>
      <c r="B85" s="15"/>
      <c r="C85" s="16"/>
      <c r="D85" s="16"/>
      <c r="E85" s="16"/>
      <c r="F85" s="3"/>
      <c r="G85" s="3"/>
      <c r="H85" s="3" t="e">
        <f t="shared" si="9"/>
        <v>#N/A</v>
      </c>
      <c r="I85" s="3" t="str">
        <f t="shared" si="10"/>
        <v>00</v>
      </c>
      <c r="J85" s="3" t="str">
        <f t="shared" si="11"/>
        <v>00</v>
      </c>
      <c r="K85" s="11" t="e">
        <f t="shared" si="15"/>
        <v>#N/A</v>
      </c>
      <c r="L85" s="14" t="e">
        <f t="shared" si="12"/>
        <v>#N/A</v>
      </c>
      <c r="M85" s="17" t="str">
        <f t="shared" si="13"/>
        <v/>
      </c>
      <c r="N85" s="18" t="str">
        <f t="shared" si="14"/>
        <v/>
      </c>
      <c r="O85" s="3"/>
      <c r="P85" s="3"/>
      <c r="T85" s="2" t="s">
        <v>141</v>
      </c>
      <c r="U85" s="19"/>
      <c r="V85" s="3" t="str">
        <f t="shared" si="16"/>
        <v/>
      </c>
      <c r="W85" s="34" t="str">
        <f t="shared" si="17"/>
        <v>0</v>
      </c>
    </row>
    <row r="86" spans="1:23" x14ac:dyDescent="0.35">
      <c r="A86" s="1">
        <v>84</v>
      </c>
      <c r="B86" s="15"/>
      <c r="C86" s="16"/>
      <c r="D86" s="16"/>
      <c r="E86" s="16"/>
      <c r="F86" s="3"/>
      <c r="G86" s="3"/>
      <c r="H86" s="3" t="e">
        <f t="shared" si="9"/>
        <v>#N/A</v>
      </c>
      <c r="I86" s="3" t="str">
        <f t="shared" si="10"/>
        <v>00</v>
      </c>
      <c r="J86" s="3" t="str">
        <f t="shared" si="11"/>
        <v>00</v>
      </c>
      <c r="K86" s="11" t="e">
        <f t="shared" si="15"/>
        <v>#N/A</v>
      </c>
      <c r="L86" s="14" t="e">
        <f t="shared" si="12"/>
        <v>#N/A</v>
      </c>
      <c r="M86" s="17" t="str">
        <f t="shared" si="13"/>
        <v/>
      </c>
      <c r="N86" s="18" t="str">
        <f t="shared" si="14"/>
        <v/>
      </c>
      <c r="O86" s="3"/>
      <c r="P86" s="3"/>
      <c r="T86" s="2" t="s">
        <v>141</v>
      </c>
      <c r="U86" s="19"/>
      <c r="V86" s="3" t="str">
        <f t="shared" si="16"/>
        <v/>
      </c>
      <c r="W86" s="34" t="str">
        <f t="shared" si="17"/>
        <v>0</v>
      </c>
    </row>
    <row r="87" spans="1:23" x14ac:dyDescent="0.35">
      <c r="A87" s="1">
        <v>85</v>
      </c>
      <c r="B87" s="15"/>
      <c r="C87" s="16"/>
      <c r="D87" s="16"/>
      <c r="E87" s="16"/>
      <c r="F87" s="3"/>
      <c r="G87" s="3"/>
      <c r="H87" s="3" t="e">
        <f t="shared" si="9"/>
        <v>#N/A</v>
      </c>
      <c r="I87" s="3" t="str">
        <f t="shared" si="10"/>
        <v>00</v>
      </c>
      <c r="J87" s="3" t="str">
        <f t="shared" si="11"/>
        <v>00</v>
      </c>
      <c r="K87" s="11" t="e">
        <f t="shared" si="15"/>
        <v>#N/A</v>
      </c>
      <c r="L87" s="14" t="e">
        <f t="shared" si="12"/>
        <v>#N/A</v>
      </c>
      <c r="M87" s="17" t="str">
        <f t="shared" si="13"/>
        <v/>
      </c>
      <c r="N87" s="18" t="str">
        <f t="shared" si="14"/>
        <v/>
      </c>
      <c r="O87" s="3"/>
      <c r="P87" s="3"/>
      <c r="T87" s="2" t="s">
        <v>141</v>
      </c>
      <c r="U87" s="19"/>
      <c r="V87" s="3" t="str">
        <f t="shared" si="16"/>
        <v/>
      </c>
      <c r="W87" s="34" t="str">
        <f t="shared" si="17"/>
        <v>0</v>
      </c>
    </row>
    <row r="88" spans="1:23" x14ac:dyDescent="0.35">
      <c r="A88" s="1">
        <v>86</v>
      </c>
      <c r="B88" s="15"/>
      <c r="C88" s="16"/>
      <c r="D88" s="16"/>
      <c r="E88" s="16"/>
      <c r="F88" s="3"/>
      <c r="G88" s="3"/>
      <c r="H88" s="3" t="e">
        <f t="shared" si="9"/>
        <v>#N/A</v>
      </c>
      <c r="I88" s="3" t="str">
        <f t="shared" si="10"/>
        <v>00</v>
      </c>
      <c r="J88" s="3" t="str">
        <f t="shared" si="11"/>
        <v>00</v>
      </c>
      <c r="K88" s="11" t="e">
        <f t="shared" si="15"/>
        <v>#N/A</v>
      </c>
      <c r="L88" s="14" t="e">
        <f t="shared" si="12"/>
        <v>#N/A</v>
      </c>
      <c r="M88" s="17" t="str">
        <f t="shared" si="13"/>
        <v/>
      </c>
      <c r="N88" s="18" t="str">
        <f t="shared" si="14"/>
        <v/>
      </c>
      <c r="O88" s="3"/>
      <c r="P88" s="3"/>
      <c r="T88" s="2" t="s">
        <v>141</v>
      </c>
      <c r="U88" s="19"/>
      <c r="V88" s="3" t="str">
        <f t="shared" si="16"/>
        <v/>
      </c>
      <c r="W88" s="34" t="str">
        <f t="shared" si="17"/>
        <v>0</v>
      </c>
    </row>
    <row r="89" spans="1:23" x14ac:dyDescent="0.35">
      <c r="A89" s="1">
        <v>87</v>
      </c>
      <c r="B89" s="15"/>
      <c r="C89" s="16"/>
      <c r="D89" s="16"/>
      <c r="E89" s="16"/>
      <c r="F89" s="3"/>
      <c r="G89" s="3"/>
      <c r="H89" s="3" t="e">
        <f t="shared" si="9"/>
        <v>#N/A</v>
      </c>
      <c r="I89" s="3" t="str">
        <f t="shared" si="10"/>
        <v>00</v>
      </c>
      <c r="J89" s="3" t="str">
        <f t="shared" si="11"/>
        <v>00</v>
      </c>
      <c r="K89" s="11" t="e">
        <f t="shared" si="15"/>
        <v>#N/A</v>
      </c>
      <c r="L89" s="14" t="e">
        <f t="shared" si="12"/>
        <v>#N/A</v>
      </c>
      <c r="M89" s="17" t="str">
        <f t="shared" si="13"/>
        <v/>
      </c>
      <c r="N89" s="18" t="str">
        <f t="shared" si="14"/>
        <v/>
      </c>
      <c r="O89" s="3"/>
      <c r="P89" s="3"/>
      <c r="T89" s="2" t="s">
        <v>141</v>
      </c>
      <c r="U89" s="19"/>
      <c r="V89" s="3" t="str">
        <f t="shared" si="16"/>
        <v/>
      </c>
      <c r="W89" s="34" t="str">
        <f t="shared" si="17"/>
        <v>0</v>
      </c>
    </row>
    <row r="90" spans="1:23" x14ac:dyDescent="0.35">
      <c r="A90" s="1">
        <v>88</v>
      </c>
      <c r="B90" s="15"/>
      <c r="C90" s="16"/>
      <c r="D90" s="16"/>
      <c r="E90" s="16"/>
      <c r="F90" s="3"/>
      <c r="G90" s="3"/>
      <c r="H90" s="3" t="e">
        <f t="shared" si="9"/>
        <v>#N/A</v>
      </c>
      <c r="I90" s="3" t="str">
        <f t="shared" si="10"/>
        <v>00</v>
      </c>
      <c r="J90" s="3" t="str">
        <f t="shared" si="11"/>
        <v>00</v>
      </c>
      <c r="K90" s="11" t="e">
        <f t="shared" si="15"/>
        <v>#N/A</v>
      </c>
      <c r="L90" s="14" t="e">
        <f t="shared" si="12"/>
        <v>#N/A</v>
      </c>
      <c r="M90" s="17" t="str">
        <f t="shared" si="13"/>
        <v/>
      </c>
      <c r="N90" s="18" t="str">
        <f t="shared" si="14"/>
        <v/>
      </c>
      <c r="O90" s="3"/>
      <c r="P90" s="3"/>
      <c r="T90" s="2" t="s">
        <v>141</v>
      </c>
      <c r="U90" s="19"/>
      <c r="V90" s="3" t="str">
        <f t="shared" si="16"/>
        <v/>
      </c>
      <c r="W90" s="34" t="str">
        <f t="shared" si="17"/>
        <v>0</v>
      </c>
    </row>
    <row r="91" spans="1:23" x14ac:dyDescent="0.35">
      <c r="A91" s="1">
        <v>89</v>
      </c>
      <c r="B91" s="15"/>
      <c r="C91" s="16"/>
      <c r="D91" s="16"/>
      <c r="E91" s="16"/>
      <c r="F91" s="3"/>
      <c r="G91" s="3"/>
      <c r="H91" s="3" t="e">
        <f t="shared" si="9"/>
        <v>#N/A</v>
      </c>
      <c r="I91" s="3" t="str">
        <f t="shared" si="10"/>
        <v>00</v>
      </c>
      <c r="J91" s="3" t="str">
        <f t="shared" si="11"/>
        <v>00</v>
      </c>
      <c r="K91" s="11" t="e">
        <f t="shared" si="15"/>
        <v>#N/A</v>
      </c>
      <c r="L91" s="14" t="e">
        <f t="shared" si="12"/>
        <v>#N/A</v>
      </c>
      <c r="M91" s="17" t="str">
        <f t="shared" si="13"/>
        <v/>
      </c>
      <c r="N91" s="18" t="str">
        <f t="shared" si="14"/>
        <v/>
      </c>
      <c r="O91" s="3"/>
      <c r="P91" s="3"/>
      <c r="T91" s="2" t="s">
        <v>141</v>
      </c>
      <c r="U91" s="19"/>
      <c r="V91" s="3" t="str">
        <f t="shared" si="16"/>
        <v/>
      </c>
      <c r="W91" s="34" t="str">
        <f t="shared" si="17"/>
        <v>0</v>
      </c>
    </row>
    <row r="92" spans="1:23" x14ac:dyDescent="0.35">
      <c r="A92" s="1">
        <v>90</v>
      </c>
      <c r="B92" s="15"/>
      <c r="C92" s="16"/>
      <c r="D92" s="16"/>
      <c r="E92" s="16"/>
      <c r="F92" s="3"/>
      <c r="G92" s="3"/>
      <c r="H92" s="3" t="e">
        <f t="shared" si="9"/>
        <v>#N/A</v>
      </c>
      <c r="I92" s="3" t="str">
        <f t="shared" si="10"/>
        <v>00</v>
      </c>
      <c r="J92" s="3" t="str">
        <f t="shared" si="11"/>
        <v>00</v>
      </c>
      <c r="K92" s="11" t="e">
        <f t="shared" si="15"/>
        <v>#N/A</v>
      </c>
      <c r="L92" s="14" t="e">
        <f t="shared" si="12"/>
        <v>#N/A</v>
      </c>
      <c r="M92" s="17" t="str">
        <f t="shared" si="13"/>
        <v/>
      </c>
      <c r="N92" s="18" t="str">
        <f t="shared" si="14"/>
        <v/>
      </c>
      <c r="O92" s="3"/>
      <c r="P92" s="3"/>
      <c r="T92" s="2" t="s">
        <v>141</v>
      </c>
      <c r="U92" s="19"/>
      <c r="V92" s="3" t="str">
        <f t="shared" si="16"/>
        <v/>
      </c>
      <c r="W92" s="34" t="str">
        <f t="shared" si="17"/>
        <v>0</v>
      </c>
    </row>
    <row r="93" spans="1:23" x14ac:dyDescent="0.35">
      <c r="A93" s="1">
        <v>91</v>
      </c>
      <c r="B93" s="15"/>
      <c r="C93" s="16"/>
      <c r="D93" s="16"/>
      <c r="E93" s="16"/>
      <c r="F93" s="3"/>
      <c r="G93" s="3"/>
      <c r="H93" s="3" t="e">
        <f t="shared" si="9"/>
        <v>#N/A</v>
      </c>
      <c r="I93" s="3" t="str">
        <f t="shared" si="10"/>
        <v>00</v>
      </c>
      <c r="J93" s="3" t="str">
        <f t="shared" si="11"/>
        <v>00</v>
      </c>
      <c r="K93" s="11" t="e">
        <f t="shared" si="15"/>
        <v>#N/A</v>
      </c>
      <c r="L93" s="14" t="e">
        <f t="shared" si="12"/>
        <v>#N/A</v>
      </c>
      <c r="M93" s="17" t="str">
        <f t="shared" si="13"/>
        <v/>
      </c>
      <c r="N93" s="18" t="str">
        <f t="shared" si="14"/>
        <v/>
      </c>
      <c r="O93" s="3"/>
      <c r="P93" s="3"/>
      <c r="T93" s="2" t="s">
        <v>141</v>
      </c>
      <c r="U93" s="19"/>
      <c r="V93" s="3" t="str">
        <f t="shared" si="16"/>
        <v/>
      </c>
      <c r="W93" s="34" t="str">
        <f t="shared" si="17"/>
        <v>0</v>
      </c>
    </row>
    <row r="94" spans="1:23" x14ac:dyDescent="0.35">
      <c r="A94" s="1">
        <v>92</v>
      </c>
      <c r="B94" s="15"/>
      <c r="C94" s="16"/>
      <c r="D94" s="16"/>
      <c r="E94" s="16"/>
      <c r="F94" s="3"/>
      <c r="G94" s="3"/>
      <c r="H94" s="3" t="e">
        <f t="shared" si="9"/>
        <v>#N/A</v>
      </c>
      <c r="I94" s="3" t="str">
        <f t="shared" si="10"/>
        <v>00</v>
      </c>
      <c r="J94" s="3" t="str">
        <f t="shared" si="11"/>
        <v>00</v>
      </c>
      <c r="K94" s="11" t="e">
        <f t="shared" si="15"/>
        <v>#N/A</v>
      </c>
      <c r="L94" s="14" t="e">
        <f t="shared" si="12"/>
        <v>#N/A</v>
      </c>
      <c r="M94" s="17" t="str">
        <f t="shared" si="13"/>
        <v/>
      </c>
      <c r="N94" s="18" t="str">
        <f t="shared" si="14"/>
        <v/>
      </c>
      <c r="O94" s="3"/>
      <c r="P94" s="3"/>
      <c r="T94" s="2" t="s">
        <v>141</v>
      </c>
      <c r="U94" s="19"/>
      <c r="V94" s="3" t="str">
        <f t="shared" si="16"/>
        <v/>
      </c>
      <c r="W94" s="34" t="str">
        <f t="shared" si="17"/>
        <v>0</v>
      </c>
    </row>
    <row r="95" spans="1:23" x14ac:dyDescent="0.35">
      <c r="A95" s="1">
        <v>93</v>
      </c>
      <c r="B95" s="15"/>
      <c r="C95" s="16"/>
      <c r="D95" s="16"/>
      <c r="E95" s="16"/>
      <c r="F95" s="3"/>
      <c r="G95" s="3"/>
      <c r="H95" s="3" t="e">
        <f t="shared" si="9"/>
        <v>#N/A</v>
      </c>
      <c r="I95" s="3" t="str">
        <f t="shared" si="10"/>
        <v>00</v>
      </c>
      <c r="J95" s="3" t="str">
        <f t="shared" si="11"/>
        <v>00</v>
      </c>
      <c r="K95" s="11" t="e">
        <f t="shared" si="15"/>
        <v>#N/A</v>
      </c>
      <c r="L95" s="14" t="e">
        <f t="shared" si="12"/>
        <v>#N/A</v>
      </c>
      <c r="M95" s="17" t="str">
        <f t="shared" si="13"/>
        <v/>
      </c>
      <c r="N95" s="18" t="str">
        <f t="shared" si="14"/>
        <v/>
      </c>
      <c r="O95" s="3"/>
      <c r="P95" s="3"/>
      <c r="T95" s="2" t="s">
        <v>141</v>
      </c>
      <c r="U95" s="19"/>
      <c r="V95" s="3" t="str">
        <f t="shared" si="16"/>
        <v/>
      </c>
      <c r="W95" s="34" t="str">
        <f t="shared" si="17"/>
        <v>0</v>
      </c>
    </row>
    <row r="96" spans="1:23" x14ac:dyDescent="0.35">
      <c r="A96" s="1">
        <v>94</v>
      </c>
      <c r="B96" s="15"/>
      <c r="C96" s="16"/>
      <c r="D96" s="16"/>
      <c r="E96" s="16"/>
      <c r="F96" s="3"/>
      <c r="G96" s="3"/>
      <c r="H96" s="3" t="e">
        <f t="shared" si="9"/>
        <v>#N/A</v>
      </c>
      <c r="I96" s="3" t="str">
        <f t="shared" si="10"/>
        <v>00</v>
      </c>
      <c r="J96" s="3" t="str">
        <f t="shared" si="11"/>
        <v>00</v>
      </c>
      <c r="K96" s="11" t="e">
        <f t="shared" si="15"/>
        <v>#N/A</v>
      </c>
      <c r="L96" s="14" t="e">
        <f t="shared" si="12"/>
        <v>#N/A</v>
      </c>
      <c r="M96" s="17" t="str">
        <f t="shared" si="13"/>
        <v/>
      </c>
      <c r="N96" s="18" t="str">
        <f t="shared" si="14"/>
        <v/>
      </c>
      <c r="O96" s="3"/>
      <c r="P96" s="3"/>
      <c r="T96" s="2" t="s">
        <v>141</v>
      </c>
      <c r="U96" s="19"/>
      <c r="V96" s="3" t="str">
        <f t="shared" si="16"/>
        <v/>
      </c>
      <c r="W96" s="34" t="str">
        <f t="shared" si="17"/>
        <v>0</v>
      </c>
    </row>
    <row r="97" spans="1:23" x14ac:dyDescent="0.35">
      <c r="A97" s="1">
        <v>95</v>
      </c>
      <c r="B97" s="15"/>
      <c r="C97" s="16"/>
      <c r="D97" s="16"/>
      <c r="E97" s="16"/>
      <c r="F97" s="3"/>
      <c r="G97" s="3"/>
      <c r="H97" s="3" t="e">
        <f t="shared" si="9"/>
        <v>#N/A</v>
      </c>
      <c r="I97" s="3" t="str">
        <f t="shared" si="10"/>
        <v>00</v>
      </c>
      <c r="J97" s="3" t="str">
        <f t="shared" si="11"/>
        <v>00</v>
      </c>
      <c r="K97" s="11" t="e">
        <f t="shared" si="15"/>
        <v>#N/A</v>
      </c>
      <c r="L97" s="14" t="e">
        <f t="shared" si="12"/>
        <v>#N/A</v>
      </c>
      <c r="M97" s="17" t="str">
        <f t="shared" si="13"/>
        <v/>
      </c>
      <c r="N97" s="18" t="str">
        <f t="shared" si="14"/>
        <v/>
      </c>
      <c r="O97" s="3"/>
      <c r="P97" s="3"/>
      <c r="T97" s="2" t="s">
        <v>141</v>
      </c>
      <c r="U97" s="19"/>
      <c r="V97" s="3" t="str">
        <f t="shared" si="16"/>
        <v/>
      </c>
      <c r="W97" s="34" t="str">
        <f t="shared" si="17"/>
        <v>0</v>
      </c>
    </row>
    <row r="98" spans="1:23" x14ac:dyDescent="0.35">
      <c r="A98" s="1">
        <v>96</v>
      </c>
      <c r="B98" s="15"/>
      <c r="C98" s="16"/>
      <c r="D98" s="16"/>
      <c r="E98" s="16"/>
      <c r="F98" s="3"/>
      <c r="G98" s="3"/>
      <c r="H98" s="3" t="e">
        <f t="shared" si="9"/>
        <v>#N/A</v>
      </c>
      <c r="I98" s="3" t="str">
        <f t="shared" si="10"/>
        <v>00</v>
      </c>
      <c r="J98" s="3" t="str">
        <f t="shared" si="11"/>
        <v>00</v>
      </c>
      <c r="K98" s="11" t="e">
        <f t="shared" si="15"/>
        <v>#N/A</v>
      </c>
      <c r="L98" s="14" t="e">
        <f t="shared" si="12"/>
        <v>#N/A</v>
      </c>
      <c r="M98" s="17" t="str">
        <f t="shared" si="13"/>
        <v/>
      </c>
      <c r="N98" s="18" t="str">
        <f t="shared" si="14"/>
        <v/>
      </c>
      <c r="O98" s="3"/>
      <c r="P98" s="3"/>
      <c r="T98" s="2" t="s">
        <v>141</v>
      </c>
      <c r="U98" s="19"/>
      <c r="V98" s="3" t="str">
        <f t="shared" si="16"/>
        <v/>
      </c>
      <c r="W98" s="34" t="str">
        <f t="shared" si="17"/>
        <v>0</v>
      </c>
    </row>
    <row r="99" spans="1:23" x14ac:dyDescent="0.35">
      <c r="A99" s="1">
        <v>97</v>
      </c>
      <c r="B99" s="15"/>
      <c r="C99" s="16"/>
      <c r="D99" s="16"/>
      <c r="E99" s="16"/>
      <c r="F99" s="3"/>
      <c r="G99" s="3"/>
      <c r="H99" s="3" t="e">
        <f t="shared" si="9"/>
        <v>#N/A</v>
      </c>
      <c r="I99" s="3" t="str">
        <f t="shared" si="10"/>
        <v>00</v>
      </c>
      <c r="J99" s="3" t="str">
        <f t="shared" si="11"/>
        <v>00</v>
      </c>
      <c r="K99" s="11" t="e">
        <f t="shared" si="15"/>
        <v>#N/A</v>
      </c>
      <c r="L99" s="14" t="e">
        <f t="shared" si="12"/>
        <v>#N/A</v>
      </c>
      <c r="M99" s="17" t="str">
        <f t="shared" si="13"/>
        <v/>
      </c>
      <c r="N99" s="18" t="str">
        <f t="shared" si="14"/>
        <v/>
      </c>
      <c r="O99" s="3"/>
      <c r="P99" s="3"/>
      <c r="T99" s="2" t="s">
        <v>141</v>
      </c>
      <c r="U99" s="19"/>
      <c r="V99" s="3" t="str">
        <f t="shared" si="16"/>
        <v/>
      </c>
      <c r="W99" s="34" t="str">
        <f t="shared" si="17"/>
        <v>0</v>
      </c>
    </row>
    <row r="100" spans="1:23" x14ac:dyDescent="0.35">
      <c r="A100" s="1">
        <v>98</v>
      </c>
      <c r="B100" s="15"/>
      <c r="C100" s="16"/>
      <c r="D100" s="16"/>
      <c r="E100" s="16"/>
      <c r="F100" s="3"/>
      <c r="G100" s="3"/>
      <c r="H100" s="3" t="e">
        <f t="shared" si="9"/>
        <v>#N/A</v>
      </c>
      <c r="I100" s="3" t="str">
        <f t="shared" si="10"/>
        <v>00</v>
      </c>
      <c r="J100" s="3" t="str">
        <f t="shared" si="11"/>
        <v>00</v>
      </c>
      <c r="K100" s="11" t="e">
        <f t="shared" si="15"/>
        <v>#N/A</v>
      </c>
      <c r="L100" s="14" t="e">
        <f t="shared" si="12"/>
        <v>#N/A</v>
      </c>
      <c r="M100" s="17" t="str">
        <f t="shared" si="13"/>
        <v/>
      </c>
      <c r="N100" s="18" t="str">
        <f t="shared" si="14"/>
        <v/>
      </c>
      <c r="O100" s="3"/>
      <c r="P100" s="3"/>
      <c r="T100" s="2" t="s">
        <v>141</v>
      </c>
      <c r="U100" s="19"/>
      <c r="V100" s="3" t="str">
        <f t="shared" si="16"/>
        <v/>
      </c>
      <c r="W100" s="34" t="str">
        <f t="shared" si="17"/>
        <v>0</v>
      </c>
    </row>
    <row r="101" spans="1:23" x14ac:dyDescent="0.35">
      <c r="A101" s="1">
        <v>99</v>
      </c>
      <c r="B101" s="15"/>
      <c r="C101" s="16"/>
      <c r="D101" s="16"/>
      <c r="E101" s="16"/>
      <c r="F101" s="3"/>
      <c r="G101" s="3"/>
      <c r="H101" s="3" t="e">
        <f t="shared" si="9"/>
        <v>#N/A</v>
      </c>
      <c r="I101" s="3" t="str">
        <f t="shared" si="10"/>
        <v>00</v>
      </c>
      <c r="J101" s="3" t="str">
        <f t="shared" si="11"/>
        <v>00</v>
      </c>
      <c r="K101" s="11" t="e">
        <f t="shared" si="15"/>
        <v>#N/A</v>
      </c>
      <c r="L101" s="14" t="e">
        <f t="shared" si="12"/>
        <v>#N/A</v>
      </c>
      <c r="M101" s="17" t="str">
        <f t="shared" si="13"/>
        <v/>
      </c>
      <c r="N101" s="18" t="str">
        <f t="shared" si="14"/>
        <v/>
      </c>
      <c r="O101" s="3"/>
      <c r="P101" s="3"/>
      <c r="T101" s="2" t="s">
        <v>141</v>
      </c>
      <c r="U101" s="19"/>
      <c r="V101" s="3" t="str">
        <f t="shared" si="16"/>
        <v/>
      </c>
      <c r="W101" s="34" t="str">
        <f t="shared" si="17"/>
        <v>0</v>
      </c>
    </row>
    <row r="102" spans="1:23" x14ac:dyDescent="0.35">
      <c r="A102" s="1">
        <v>100</v>
      </c>
      <c r="B102" s="15"/>
      <c r="C102" s="16"/>
      <c r="D102" s="16"/>
      <c r="E102" s="16"/>
      <c r="F102" s="3"/>
      <c r="G102" s="3"/>
      <c r="H102" s="3" t="e">
        <f t="shared" si="9"/>
        <v>#N/A</v>
      </c>
      <c r="I102" s="3" t="str">
        <f t="shared" si="10"/>
        <v>00</v>
      </c>
      <c r="J102" s="3" t="str">
        <f t="shared" si="11"/>
        <v>00</v>
      </c>
      <c r="K102" s="11" t="e">
        <f t="shared" si="15"/>
        <v>#N/A</v>
      </c>
      <c r="L102" s="14" t="e">
        <f t="shared" si="12"/>
        <v>#N/A</v>
      </c>
      <c r="M102" s="17" t="str">
        <f t="shared" si="13"/>
        <v/>
      </c>
      <c r="N102" s="18" t="str">
        <f t="shared" si="14"/>
        <v/>
      </c>
      <c r="O102" s="3"/>
      <c r="P102" s="3"/>
      <c r="T102" s="2" t="s">
        <v>141</v>
      </c>
      <c r="U102" s="19"/>
      <c r="V102" s="3" t="str">
        <f t="shared" si="16"/>
        <v/>
      </c>
      <c r="W102" s="34" t="str">
        <f t="shared" si="17"/>
        <v>0</v>
      </c>
    </row>
    <row r="103" spans="1:23" x14ac:dyDescent="0.35">
      <c r="A103" s="1">
        <v>101</v>
      </c>
      <c r="B103" s="15"/>
      <c r="C103" s="16"/>
      <c r="D103" s="16"/>
      <c r="E103" s="16"/>
      <c r="F103" s="3"/>
      <c r="G103" s="3"/>
      <c r="H103" s="3" t="e">
        <f t="shared" si="9"/>
        <v>#N/A</v>
      </c>
      <c r="I103" s="3" t="str">
        <f t="shared" si="10"/>
        <v>00</v>
      </c>
      <c r="J103" s="3" t="str">
        <f t="shared" si="11"/>
        <v>00</v>
      </c>
      <c r="K103" s="11" t="e">
        <f t="shared" si="15"/>
        <v>#N/A</v>
      </c>
      <c r="L103" s="14" t="e">
        <f t="shared" si="12"/>
        <v>#N/A</v>
      </c>
      <c r="M103" s="17" t="str">
        <f t="shared" si="13"/>
        <v/>
      </c>
      <c r="N103" s="18" t="str">
        <f t="shared" si="14"/>
        <v/>
      </c>
      <c r="O103" s="3"/>
      <c r="P103" s="3"/>
      <c r="T103" s="2" t="s">
        <v>141</v>
      </c>
      <c r="U103" s="19"/>
      <c r="V103" s="3" t="str">
        <f t="shared" si="16"/>
        <v/>
      </c>
      <c r="W103" s="34" t="str">
        <f t="shared" si="17"/>
        <v>0</v>
      </c>
    </row>
    <row r="104" spans="1:23" x14ac:dyDescent="0.35">
      <c r="A104" s="1">
        <v>102</v>
      </c>
      <c r="B104" s="15"/>
      <c r="C104" s="16"/>
      <c r="D104" s="16"/>
      <c r="E104" s="16"/>
      <c r="F104" s="3"/>
      <c r="G104" s="3"/>
      <c r="H104" s="3" t="e">
        <f t="shared" si="9"/>
        <v>#N/A</v>
      </c>
      <c r="I104" s="3" t="str">
        <f t="shared" si="10"/>
        <v>00</v>
      </c>
      <c r="J104" s="3" t="str">
        <f t="shared" si="11"/>
        <v>00</v>
      </c>
      <c r="K104" s="11" t="e">
        <f t="shared" si="15"/>
        <v>#N/A</v>
      </c>
      <c r="L104" s="14" t="e">
        <f t="shared" si="12"/>
        <v>#N/A</v>
      </c>
      <c r="M104" s="17" t="str">
        <f t="shared" si="13"/>
        <v/>
      </c>
      <c r="N104" s="18" t="str">
        <f t="shared" si="14"/>
        <v/>
      </c>
      <c r="O104" s="3"/>
      <c r="P104" s="3"/>
      <c r="T104" s="2" t="s">
        <v>141</v>
      </c>
      <c r="U104" s="19"/>
      <c r="V104" s="3" t="str">
        <f t="shared" si="16"/>
        <v/>
      </c>
      <c r="W104" s="34" t="str">
        <f t="shared" si="17"/>
        <v>0</v>
      </c>
    </row>
    <row r="105" spans="1:23" x14ac:dyDescent="0.35">
      <c r="A105" s="1">
        <v>103</v>
      </c>
      <c r="B105" s="15"/>
      <c r="C105" s="16"/>
      <c r="D105" s="16"/>
      <c r="E105" s="16"/>
      <c r="F105" s="3"/>
      <c r="G105" s="3"/>
      <c r="H105" s="3" t="e">
        <f t="shared" si="9"/>
        <v>#N/A</v>
      </c>
      <c r="I105" s="3" t="str">
        <f t="shared" si="10"/>
        <v>00</v>
      </c>
      <c r="J105" s="3" t="str">
        <f t="shared" si="11"/>
        <v>00</v>
      </c>
      <c r="K105" s="11" t="e">
        <f t="shared" si="15"/>
        <v>#N/A</v>
      </c>
      <c r="L105" s="14" t="e">
        <f t="shared" si="12"/>
        <v>#N/A</v>
      </c>
      <c r="M105" s="17" t="str">
        <f t="shared" si="13"/>
        <v/>
      </c>
      <c r="N105" s="18" t="str">
        <f t="shared" si="14"/>
        <v/>
      </c>
      <c r="O105" s="3"/>
      <c r="P105" s="3"/>
      <c r="T105" s="2" t="s">
        <v>141</v>
      </c>
      <c r="U105" s="19"/>
      <c r="V105" s="3" t="str">
        <f t="shared" si="16"/>
        <v/>
      </c>
      <c r="W105" s="34" t="str">
        <f t="shared" si="17"/>
        <v>0</v>
      </c>
    </row>
    <row r="106" spans="1:23" x14ac:dyDescent="0.35">
      <c r="A106" s="1">
        <v>104</v>
      </c>
      <c r="B106" s="15"/>
      <c r="C106" s="16"/>
      <c r="D106" s="16"/>
      <c r="E106" s="16"/>
      <c r="F106" s="3"/>
      <c r="G106" s="3"/>
      <c r="H106" s="3" t="e">
        <f t="shared" si="9"/>
        <v>#N/A</v>
      </c>
      <c r="I106" s="3" t="str">
        <f t="shared" si="10"/>
        <v>00</v>
      </c>
      <c r="J106" s="3" t="str">
        <f t="shared" si="11"/>
        <v>00</v>
      </c>
      <c r="K106" s="11" t="e">
        <f t="shared" si="15"/>
        <v>#N/A</v>
      </c>
      <c r="L106" s="14" t="e">
        <f t="shared" si="12"/>
        <v>#N/A</v>
      </c>
      <c r="M106" s="17" t="str">
        <f t="shared" si="13"/>
        <v/>
      </c>
      <c r="N106" s="18" t="str">
        <f t="shared" si="14"/>
        <v/>
      </c>
      <c r="O106" s="3"/>
      <c r="P106" s="3"/>
      <c r="T106" s="2" t="s">
        <v>141</v>
      </c>
      <c r="U106" s="19"/>
      <c r="V106" s="3" t="str">
        <f t="shared" si="16"/>
        <v/>
      </c>
      <c r="W106" s="34" t="str">
        <f t="shared" si="17"/>
        <v>0</v>
      </c>
    </row>
    <row r="107" spans="1:23" x14ac:dyDescent="0.35">
      <c r="A107" s="1">
        <v>105</v>
      </c>
      <c r="B107" s="15"/>
      <c r="C107" s="16"/>
      <c r="D107" s="16"/>
      <c r="E107" s="16"/>
      <c r="F107" s="3"/>
      <c r="G107" s="3"/>
      <c r="H107" s="3" t="e">
        <f t="shared" si="9"/>
        <v>#N/A</v>
      </c>
      <c r="I107" s="3" t="str">
        <f t="shared" si="10"/>
        <v>00</v>
      </c>
      <c r="J107" s="3" t="str">
        <f t="shared" si="11"/>
        <v>00</v>
      </c>
      <c r="K107" s="11" t="e">
        <f t="shared" si="15"/>
        <v>#N/A</v>
      </c>
      <c r="L107" s="14" t="e">
        <f t="shared" si="12"/>
        <v>#N/A</v>
      </c>
      <c r="M107" s="17" t="str">
        <f t="shared" si="13"/>
        <v/>
      </c>
      <c r="N107" s="18" t="str">
        <f t="shared" si="14"/>
        <v/>
      </c>
      <c r="O107" s="3"/>
      <c r="P107" s="3"/>
      <c r="T107" s="2" t="s">
        <v>141</v>
      </c>
      <c r="U107" s="19"/>
      <c r="V107" s="3" t="str">
        <f t="shared" si="16"/>
        <v/>
      </c>
      <c r="W107" s="34" t="str">
        <f t="shared" si="17"/>
        <v>0</v>
      </c>
    </row>
    <row r="108" spans="1:23" x14ac:dyDescent="0.35">
      <c r="A108" s="1">
        <v>106</v>
      </c>
      <c r="B108" s="15"/>
      <c r="C108" s="16"/>
      <c r="D108" s="16"/>
      <c r="E108" s="16"/>
      <c r="F108" s="3"/>
      <c r="G108" s="3"/>
      <c r="H108" s="3" t="e">
        <f t="shared" si="9"/>
        <v>#N/A</v>
      </c>
      <c r="I108" s="3" t="str">
        <f t="shared" si="10"/>
        <v>00</v>
      </c>
      <c r="J108" s="3" t="str">
        <f t="shared" si="11"/>
        <v>00</v>
      </c>
      <c r="K108" s="11" t="e">
        <f t="shared" si="15"/>
        <v>#N/A</v>
      </c>
      <c r="L108" s="14" t="e">
        <f t="shared" si="12"/>
        <v>#N/A</v>
      </c>
      <c r="M108" s="17" t="str">
        <f t="shared" si="13"/>
        <v/>
      </c>
      <c r="N108" s="18" t="str">
        <f t="shared" si="14"/>
        <v/>
      </c>
      <c r="O108" s="3"/>
      <c r="P108" s="3"/>
      <c r="T108" s="2" t="s">
        <v>141</v>
      </c>
      <c r="U108" s="19"/>
      <c r="V108" s="3" t="str">
        <f t="shared" si="16"/>
        <v/>
      </c>
      <c r="W108" s="34" t="str">
        <f t="shared" si="17"/>
        <v>0</v>
      </c>
    </row>
    <row r="109" spans="1:23" x14ac:dyDescent="0.35">
      <c r="A109" s="1">
        <v>107</v>
      </c>
      <c r="B109" s="15"/>
      <c r="C109" s="16"/>
      <c r="D109" s="16"/>
      <c r="E109" s="16"/>
      <c r="F109" s="3"/>
      <c r="G109" s="3"/>
      <c r="H109" s="3" t="e">
        <f t="shared" si="9"/>
        <v>#N/A</v>
      </c>
      <c r="I109" s="3" t="str">
        <f t="shared" si="10"/>
        <v>00</v>
      </c>
      <c r="J109" s="3" t="str">
        <f t="shared" si="11"/>
        <v>00</v>
      </c>
      <c r="K109" s="11" t="e">
        <f t="shared" si="15"/>
        <v>#N/A</v>
      </c>
      <c r="L109" s="14" t="e">
        <f t="shared" si="12"/>
        <v>#N/A</v>
      </c>
      <c r="M109" s="17" t="str">
        <f t="shared" si="13"/>
        <v/>
      </c>
      <c r="N109" s="18" t="str">
        <f t="shared" si="14"/>
        <v/>
      </c>
      <c r="O109" s="3"/>
      <c r="P109" s="3"/>
      <c r="T109" s="2" t="s">
        <v>141</v>
      </c>
      <c r="U109" s="19"/>
      <c r="V109" s="3" t="str">
        <f t="shared" si="16"/>
        <v/>
      </c>
      <c r="W109" s="34" t="str">
        <f t="shared" si="17"/>
        <v>0</v>
      </c>
    </row>
    <row r="110" spans="1:23" x14ac:dyDescent="0.35">
      <c r="A110" s="1">
        <v>108</v>
      </c>
      <c r="B110" s="15"/>
      <c r="C110" s="16"/>
      <c r="D110" s="16"/>
      <c r="E110" s="16"/>
      <c r="F110" s="3"/>
      <c r="G110" s="3"/>
      <c r="H110" s="3" t="e">
        <f t="shared" si="9"/>
        <v>#N/A</v>
      </c>
      <c r="I110" s="3" t="str">
        <f t="shared" si="10"/>
        <v>00</v>
      </c>
      <c r="J110" s="3" t="str">
        <f t="shared" si="11"/>
        <v>00</v>
      </c>
      <c r="K110" s="11" t="e">
        <f t="shared" si="15"/>
        <v>#N/A</v>
      </c>
      <c r="L110" s="14" t="e">
        <f t="shared" si="12"/>
        <v>#N/A</v>
      </c>
      <c r="M110" s="17" t="str">
        <f t="shared" si="13"/>
        <v/>
      </c>
      <c r="N110" s="18" t="str">
        <f t="shared" si="14"/>
        <v/>
      </c>
      <c r="O110" s="3"/>
      <c r="P110" s="3"/>
      <c r="T110" s="2" t="s">
        <v>141</v>
      </c>
      <c r="U110" s="19"/>
      <c r="V110" s="3" t="str">
        <f t="shared" si="16"/>
        <v/>
      </c>
      <c r="W110" s="34" t="str">
        <f t="shared" si="17"/>
        <v>0</v>
      </c>
    </row>
    <row r="111" spans="1:23" x14ac:dyDescent="0.35">
      <c r="A111" s="1">
        <v>109</v>
      </c>
      <c r="B111" s="15"/>
      <c r="C111" s="16"/>
      <c r="D111" s="16"/>
      <c r="E111" s="16"/>
      <c r="F111" s="3"/>
      <c r="G111" s="3"/>
      <c r="H111" s="3" t="e">
        <f t="shared" si="9"/>
        <v>#N/A</v>
      </c>
      <c r="I111" s="3" t="str">
        <f t="shared" si="10"/>
        <v>00</v>
      </c>
      <c r="J111" s="3" t="str">
        <f t="shared" si="11"/>
        <v>00</v>
      </c>
      <c r="K111" s="11" t="e">
        <f t="shared" si="15"/>
        <v>#N/A</v>
      </c>
      <c r="L111" s="14" t="e">
        <f t="shared" si="12"/>
        <v>#N/A</v>
      </c>
      <c r="M111" s="17" t="str">
        <f t="shared" si="13"/>
        <v/>
      </c>
      <c r="N111" s="18" t="str">
        <f t="shared" si="14"/>
        <v/>
      </c>
      <c r="O111" s="3"/>
      <c r="P111" s="3"/>
      <c r="T111" s="2" t="s">
        <v>141</v>
      </c>
      <c r="U111" s="19"/>
      <c r="V111" s="3" t="str">
        <f t="shared" si="16"/>
        <v/>
      </c>
      <c r="W111" s="34" t="str">
        <f t="shared" si="17"/>
        <v>0</v>
      </c>
    </row>
    <row r="112" spans="1:23" x14ac:dyDescent="0.35">
      <c r="A112" s="1">
        <v>110</v>
      </c>
      <c r="B112" s="15"/>
      <c r="C112" s="16"/>
      <c r="D112" s="16"/>
      <c r="E112" s="16"/>
      <c r="F112" s="3"/>
      <c r="G112" s="3"/>
      <c r="H112" s="3" t="e">
        <f t="shared" si="9"/>
        <v>#N/A</v>
      </c>
      <c r="I112" s="3" t="str">
        <f t="shared" si="10"/>
        <v>00</v>
      </c>
      <c r="J112" s="3" t="str">
        <f t="shared" si="11"/>
        <v>00</v>
      </c>
      <c r="K112" s="11" t="e">
        <f t="shared" si="15"/>
        <v>#N/A</v>
      </c>
      <c r="L112" s="14" t="e">
        <f t="shared" si="12"/>
        <v>#N/A</v>
      </c>
      <c r="M112" s="17" t="str">
        <f t="shared" si="13"/>
        <v/>
      </c>
      <c r="N112" s="18" t="str">
        <f t="shared" si="14"/>
        <v/>
      </c>
      <c r="O112" s="3"/>
      <c r="P112" s="3"/>
      <c r="T112" s="2" t="s">
        <v>141</v>
      </c>
      <c r="U112" s="19"/>
      <c r="V112" s="3" t="str">
        <f t="shared" si="16"/>
        <v/>
      </c>
      <c r="W112" s="34" t="str">
        <f t="shared" si="17"/>
        <v>0</v>
      </c>
    </row>
    <row r="113" spans="1:23" x14ac:dyDescent="0.35">
      <c r="A113" s="1">
        <v>111</v>
      </c>
      <c r="B113" s="15"/>
      <c r="C113" s="16"/>
      <c r="D113" s="16"/>
      <c r="E113" s="16"/>
      <c r="F113" s="3"/>
      <c r="G113" s="3"/>
      <c r="H113" s="3" t="e">
        <f t="shared" si="9"/>
        <v>#N/A</v>
      </c>
      <c r="I113" s="3" t="str">
        <f t="shared" si="10"/>
        <v>00</v>
      </c>
      <c r="J113" s="3" t="str">
        <f t="shared" si="11"/>
        <v>00</v>
      </c>
      <c r="K113" s="11" t="e">
        <f t="shared" si="15"/>
        <v>#N/A</v>
      </c>
      <c r="L113" s="14" t="e">
        <f t="shared" si="12"/>
        <v>#N/A</v>
      </c>
      <c r="M113" s="17" t="str">
        <f t="shared" si="13"/>
        <v/>
      </c>
      <c r="N113" s="18" t="str">
        <f t="shared" si="14"/>
        <v/>
      </c>
      <c r="O113" s="3"/>
      <c r="P113" s="3"/>
      <c r="T113" s="2" t="s">
        <v>141</v>
      </c>
      <c r="U113" s="19"/>
      <c r="V113" s="3" t="str">
        <f t="shared" si="16"/>
        <v/>
      </c>
      <c r="W113" s="34" t="str">
        <f t="shared" si="17"/>
        <v>0</v>
      </c>
    </row>
    <row r="114" spans="1:23" x14ac:dyDescent="0.35">
      <c r="A114" s="1">
        <v>112</v>
      </c>
      <c r="B114" s="15"/>
      <c r="C114" s="16"/>
      <c r="D114" s="16"/>
      <c r="E114" s="16"/>
      <c r="F114" s="3"/>
      <c r="G114" s="3"/>
      <c r="H114" s="3" t="e">
        <f t="shared" si="9"/>
        <v>#N/A</v>
      </c>
      <c r="I114" s="3" t="str">
        <f t="shared" si="10"/>
        <v>00</v>
      </c>
      <c r="J114" s="3" t="str">
        <f t="shared" si="11"/>
        <v>00</v>
      </c>
      <c r="K114" s="11" t="e">
        <f t="shared" si="15"/>
        <v>#N/A</v>
      </c>
      <c r="L114" s="14" t="e">
        <f t="shared" si="12"/>
        <v>#N/A</v>
      </c>
      <c r="M114" s="17" t="str">
        <f t="shared" si="13"/>
        <v/>
      </c>
      <c r="N114" s="18" t="str">
        <f t="shared" si="14"/>
        <v/>
      </c>
      <c r="O114" s="3"/>
      <c r="P114" s="3"/>
      <c r="T114" s="2" t="s">
        <v>141</v>
      </c>
      <c r="U114" s="19"/>
      <c r="V114" s="3" t="str">
        <f t="shared" si="16"/>
        <v/>
      </c>
      <c r="W114" s="34" t="str">
        <f t="shared" si="17"/>
        <v>0</v>
      </c>
    </row>
    <row r="115" spans="1:23" x14ac:dyDescent="0.35">
      <c r="A115" s="1">
        <v>113</v>
      </c>
      <c r="B115" s="15"/>
      <c r="C115" s="16"/>
      <c r="D115" s="16"/>
      <c r="E115" s="16"/>
      <c r="F115" s="3"/>
      <c r="G115" s="3"/>
      <c r="H115" s="3" t="e">
        <f t="shared" si="9"/>
        <v>#N/A</v>
      </c>
      <c r="I115" s="3" t="str">
        <f t="shared" si="10"/>
        <v>00</v>
      </c>
      <c r="J115" s="3" t="str">
        <f t="shared" si="11"/>
        <v>00</v>
      </c>
      <c r="K115" s="11" t="e">
        <f t="shared" si="15"/>
        <v>#N/A</v>
      </c>
      <c r="L115" s="14" t="e">
        <f t="shared" si="12"/>
        <v>#N/A</v>
      </c>
      <c r="M115" s="17" t="str">
        <f t="shared" si="13"/>
        <v/>
      </c>
      <c r="N115" s="18" t="str">
        <f t="shared" si="14"/>
        <v/>
      </c>
      <c r="O115" s="3"/>
      <c r="P115" s="3"/>
      <c r="T115" s="2" t="s">
        <v>141</v>
      </c>
      <c r="U115" s="19"/>
      <c r="V115" s="3" t="str">
        <f t="shared" si="16"/>
        <v/>
      </c>
      <c r="W115" s="34" t="str">
        <f t="shared" si="17"/>
        <v>0</v>
      </c>
    </row>
    <row r="116" spans="1:23" x14ac:dyDescent="0.35">
      <c r="A116" s="1">
        <v>114</v>
      </c>
      <c r="B116" s="15"/>
      <c r="C116" s="16"/>
      <c r="D116" s="16"/>
      <c r="E116" s="16"/>
      <c r="F116" s="3"/>
      <c r="G116" s="3"/>
      <c r="H116" s="3" t="e">
        <f t="shared" si="9"/>
        <v>#N/A</v>
      </c>
      <c r="I116" s="3" t="str">
        <f t="shared" si="10"/>
        <v>00</v>
      </c>
      <c r="J116" s="3" t="str">
        <f t="shared" si="11"/>
        <v>00</v>
      </c>
      <c r="K116" s="11" t="e">
        <f t="shared" si="15"/>
        <v>#N/A</v>
      </c>
      <c r="L116" s="14" t="e">
        <f t="shared" si="12"/>
        <v>#N/A</v>
      </c>
      <c r="M116" s="17" t="str">
        <f t="shared" si="13"/>
        <v/>
      </c>
      <c r="N116" s="18" t="str">
        <f t="shared" si="14"/>
        <v/>
      </c>
      <c r="O116" s="3"/>
      <c r="P116" s="3"/>
      <c r="T116" s="2" t="s">
        <v>141</v>
      </c>
      <c r="U116" s="19"/>
      <c r="V116" s="3" t="str">
        <f t="shared" si="16"/>
        <v/>
      </c>
      <c r="W116" s="34" t="str">
        <f t="shared" si="17"/>
        <v>0</v>
      </c>
    </row>
    <row r="117" spans="1:23" x14ac:dyDescent="0.35">
      <c r="A117" s="1">
        <v>115</v>
      </c>
      <c r="B117" s="15"/>
      <c r="C117" s="16"/>
      <c r="D117" s="16"/>
      <c r="E117" s="16"/>
      <c r="F117" s="3"/>
      <c r="G117" s="3"/>
      <c r="H117" s="3" t="e">
        <f t="shared" si="9"/>
        <v>#N/A</v>
      </c>
      <c r="I117" s="3" t="str">
        <f t="shared" si="10"/>
        <v>00</v>
      </c>
      <c r="J117" s="3" t="str">
        <f t="shared" si="11"/>
        <v>00</v>
      </c>
      <c r="K117" s="11" t="e">
        <f t="shared" si="15"/>
        <v>#N/A</v>
      </c>
      <c r="L117" s="14" t="e">
        <f t="shared" si="12"/>
        <v>#N/A</v>
      </c>
      <c r="M117" s="17" t="str">
        <f t="shared" si="13"/>
        <v/>
      </c>
      <c r="N117" s="18" t="str">
        <f t="shared" si="14"/>
        <v/>
      </c>
      <c r="O117" s="3"/>
      <c r="P117" s="3"/>
      <c r="T117" s="2" t="s">
        <v>141</v>
      </c>
      <c r="U117" s="19"/>
      <c r="V117" s="3" t="str">
        <f t="shared" si="16"/>
        <v/>
      </c>
      <c r="W117" s="34" t="str">
        <f t="shared" si="17"/>
        <v>0</v>
      </c>
    </row>
    <row r="118" spans="1:23" x14ac:dyDescent="0.35">
      <c r="A118" s="1">
        <v>116</v>
      </c>
      <c r="B118" s="15"/>
      <c r="C118" s="16"/>
      <c r="D118" s="16"/>
      <c r="E118" s="16"/>
      <c r="F118" s="3"/>
      <c r="G118" s="3"/>
      <c r="H118" s="3" t="e">
        <f t="shared" si="9"/>
        <v>#N/A</v>
      </c>
      <c r="I118" s="3" t="str">
        <f t="shared" si="10"/>
        <v>00</v>
      </c>
      <c r="J118" s="3" t="str">
        <f t="shared" si="11"/>
        <v>00</v>
      </c>
      <c r="K118" s="11" t="e">
        <f t="shared" si="15"/>
        <v>#N/A</v>
      </c>
      <c r="L118" s="14" t="e">
        <f t="shared" si="12"/>
        <v>#N/A</v>
      </c>
      <c r="M118" s="17" t="str">
        <f t="shared" si="13"/>
        <v/>
      </c>
      <c r="N118" s="18" t="str">
        <f t="shared" si="14"/>
        <v/>
      </c>
      <c r="O118" s="3"/>
      <c r="P118" s="3"/>
      <c r="T118" s="2" t="s">
        <v>141</v>
      </c>
      <c r="U118" s="19"/>
      <c r="V118" s="3" t="str">
        <f t="shared" si="16"/>
        <v/>
      </c>
      <c r="W118" s="34" t="str">
        <f t="shared" si="17"/>
        <v>0</v>
      </c>
    </row>
    <row r="119" spans="1:23" x14ac:dyDescent="0.35">
      <c r="A119" s="1">
        <v>117</v>
      </c>
      <c r="B119" s="15"/>
      <c r="C119" s="16"/>
      <c r="D119" s="16"/>
      <c r="E119" s="16"/>
      <c r="F119" s="3"/>
      <c r="G119" s="3"/>
      <c r="H119" s="3" t="e">
        <f t="shared" si="9"/>
        <v>#N/A</v>
      </c>
      <c r="I119" s="3" t="str">
        <f t="shared" si="10"/>
        <v>00</v>
      </c>
      <c r="J119" s="3" t="str">
        <f t="shared" si="11"/>
        <v>00</v>
      </c>
      <c r="K119" s="11" t="e">
        <f t="shared" si="15"/>
        <v>#N/A</v>
      </c>
      <c r="L119" s="14" t="e">
        <f t="shared" si="12"/>
        <v>#N/A</v>
      </c>
      <c r="M119" s="17" t="str">
        <f t="shared" si="13"/>
        <v/>
      </c>
      <c r="N119" s="18" t="str">
        <f t="shared" si="14"/>
        <v/>
      </c>
      <c r="O119" s="3"/>
      <c r="P119" s="3"/>
      <c r="T119" s="2" t="s">
        <v>141</v>
      </c>
      <c r="U119" s="19"/>
      <c r="V119" s="3" t="str">
        <f t="shared" si="16"/>
        <v/>
      </c>
      <c r="W119" s="34" t="str">
        <f t="shared" si="17"/>
        <v>0</v>
      </c>
    </row>
    <row r="120" spans="1:23" x14ac:dyDescent="0.35">
      <c r="A120" s="1">
        <v>118</v>
      </c>
      <c r="B120" s="15"/>
      <c r="C120" s="16"/>
      <c r="D120" s="16"/>
      <c r="E120" s="16"/>
      <c r="F120" s="3"/>
      <c r="G120" s="3"/>
      <c r="H120" s="3" t="e">
        <f t="shared" si="9"/>
        <v>#N/A</v>
      </c>
      <c r="I120" s="3" t="str">
        <f t="shared" si="10"/>
        <v>00</v>
      </c>
      <c r="J120" s="3" t="str">
        <f t="shared" si="11"/>
        <v>00</v>
      </c>
      <c r="K120" s="11" t="e">
        <f t="shared" si="15"/>
        <v>#N/A</v>
      </c>
      <c r="L120" s="14" t="e">
        <f t="shared" si="12"/>
        <v>#N/A</v>
      </c>
      <c r="M120" s="17" t="str">
        <f t="shared" si="13"/>
        <v/>
      </c>
      <c r="N120" s="18" t="str">
        <f t="shared" si="14"/>
        <v/>
      </c>
      <c r="O120" s="3"/>
      <c r="P120" s="3"/>
      <c r="T120" s="2" t="s">
        <v>141</v>
      </c>
      <c r="U120" s="19"/>
      <c r="V120" s="3" t="str">
        <f t="shared" si="16"/>
        <v/>
      </c>
      <c r="W120" s="34" t="str">
        <f t="shared" si="17"/>
        <v>0</v>
      </c>
    </row>
    <row r="121" spans="1:23" x14ac:dyDescent="0.35">
      <c r="A121" s="1">
        <v>119</v>
      </c>
      <c r="B121" s="15"/>
      <c r="C121" s="16"/>
      <c r="D121" s="16"/>
      <c r="E121" s="16"/>
      <c r="F121" s="3"/>
      <c r="G121" s="3"/>
      <c r="H121" s="3" t="e">
        <f t="shared" si="9"/>
        <v>#N/A</v>
      </c>
      <c r="I121" s="3" t="str">
        <f t="shared" si="10"/>
        <v>00</v>
      </c>
      <c r="J121" s="3" t="str">
        <f t="shared" si="11"/>
        <v>00</v>
      </c>
      <c r="K121" s="11" t="e">
        <f t="shared" si="15"/>
        <v>#N/A</v>
      </c>
      <c r="L121" s="14" t="e">
        <f t="shared" si="12"/>
        <v>#N/A</v>
      </c>
      <c r="M121" s="17" t="str">
        <f t="shared" si="13"/>
        <v/>
      </c>
      <c r="N121" s="18" t="str">
        <f t="shared" si="14"/>
        <v/>
      </c>
      <c r="O121" s="3"/>
      <c r="P121" s="3"/>
      <c r="T121" s="2" t="s">
        <v>141</v>
      </c>
      <c r="U121" s="19"/>
      <c r="V121" s="3" t="str">
        <f t="shared" si="16"/>
        <v/>
      </c>
      <c r="W121" s="34" t="str">
        <f t="shared" si="17"/>
        <v>0</v>
      </c>
    </row>
    <row r="122" spans="1:23" x14ac:dyDescent="0.35">
      <c r="A122" s="1">
        <v>120</v>
      </c>
      <c r="B122" s="15"/>
      <c r="C122" s="16"/>
      <c r="D122" s="16"/>
      <c r="E122" s="16"/>
      <c r="F122" s="3"/>
      <c r="G122" s="3"/>
      <c r="H122" s="3" t="e">
        <f t="shared" si="9"/>
        <v>#N/A</v>
      </c>
      <c r="I122" s="3" t="str">
        <f t="shared" si="10"/>
        <v>00</v>
      </c>
      <c r="J122" s="3" t="str">
        <f t="shared" si="11"/>
        <v>00</v>
      </c>
      <c r="K122" s="11" t="e">
        <f t="shared" si="15"/>
        <v>#N/A</v>
      </c>
      <c r="L122" s="14" t="e">
        <f t="shared" si="12"/>
        <v>#N/A</v>
      </c>
      <c r="M122" s="17" t="str">
        <f t="shared" si="13"/>
        <v/>
      </c>
      <c r="N122" s="18" t="str">
        <f t="shared" si="14"/>
        <v/>
      </c>
      <c r="O122" s="3"/>
      <c r="P122" s="3"/>
      <c r="T122" s="2" t="s">
        <v>141</v>
      </c>
      <c r="U122" s="19"/>
      <c r="V122" s="3" t="str">
        <f t="shared" si="16"/>
        <v/>
      </c>
      <c r="W122" s="34" t="str">
        <f t="shared" si="17"/>
        <v>0</v>
      </c>
    </row>
    <row r="123" spans="1:23" x14ac:dyDescent="0.35">
      <c r="A123" s="1">
        <v>121</v>
      </c>
      <c r="B123" s="15"/>
      <c r="C123" s="16"/>
      <c r="D123" s="16"/>
      <c r="E123" s="16"/>
      <c r="F123" s="3"/>
      <c r="G123" s="3"/>
      <c r="H123" s="3" t="e">
        <f t="shared" si="9"/>
        <v>#N/A</v>
      </c>
      <c r="I123" s="3" t="str">
        <f t="shared" si="10"/>
        <v>00</v>
      </c>
      <c r="J123" s="3" t="str">
        <f t="shared" si="11"/>
        <v>00</v>
      </c>
      <c r="K123" s="11" t="e">
        <f t="shared" si="15"/>
        <v>#N/A</v>
      </c>
      <c r="L123" s="14" t="e">
        <f t="shared" si="12"/>
        <v>#N/A</v>
      </c>
      <c r="M123" s="17" t="str">
        <f t="shared" si="13"/>
        <v/>
      </c>
      <c r="N123" s="18" t="str">
        <f t="shared" si="14"/>
        <v/>
      </c>
      <c r="O123" s="3"/>
      <c r="P123" s="3"/>
      <c r="T123" s="2" t="s">
        <v>141</v>
      </c>
      <c r="U123" s="19"/>
      <c r="V123" s="3" t="str">
        <f t="shared" si="16"/>
        <v/>
      </c>
      <c r="W123" s="34" t="str">
        <f t="shared" si="17"/>
        <v>0</v>
      </c>
    </row>
    <row r="124" spans="1:23" x14ac:dyDescent="0.35">
      <c r="A124" s="1">
        <v>122</v>
      </c>
      <c r="B124" s="15"/>
      <c r="C124" s="16"/>
      <c r="D124" s="16"/>
      <c r="E124" s="16"/>
      <c r="F124" s="3"/>
      <c r="G124" s="3"/>
      <c r="H124" s="3" t="e">
        <f t="shared" si="9"/>
        <v>#N/A</v>
      </c>
      <c r="I124" s="3" t="str">
        <f t="shared" si="10"/>
        <v>00</v>
      </c>
      <c r="J124" s="3" t="str">
        <f t="shared" si="11"/>
        <v>00</v>
      </c>
      <c r="K124" s="11" t="e">
        <f t="shared" si="15"/>
        <v>#N/A</v>
      </c>
      <c r="L124" s="14" t="e">
        <f t="shared" si="12"/>
        <v>#N/A</v>
      </c>
      <c r="M124" s="17" t="str">
        <f t="shared" si="13"/>
        <v/>
      </c>
      <c r="N124" s="18" t="str">
        <f t="shared" si="14"/>
        <v/>
      </c>
      <c r="O124" s="3"/>
      <c r="P124" s="3"/>
      <c r="T124" s="2" t="s">
        <v>141</v>
      </c>
      <c r="U124" s="19"/>
      <c r="V124" s="3" t="str">
        <f t="shared" si="16"/>
        <v/>
      </c>
      <c r="W124" s="34" t="str">
        <f t="shared" si="17"/>
        <v>0</v>
      </c>
    </row>
    <row r="125" spans="1:23" x14ac:dyDescent="0.35">
      <c r="A125" s="1">
        <v>123</v>
      </c>
      <c r="B125" s="15"/>
      <c r="C125" s="16"/>
      <c r="D125" s="16"/>
      <c r="E125" s="16"/>
      <c r="F125" s="3"/>
      <c r="G125" s="3"/>
      <c r="H125" s="3" t="e">
        <f t="shared" si="9"/>
        <v>#N/A</v>
      </c>
      <c r="I125" s="3" t="str">
        <f t="shared" si="10"/>
        <v>00</v>
      </c>
      <c r="J125" s="3" t="str">
        <f t="shared" si="11"/>
        <v>00</v>
      </c>
      <c r="K125" s="11" t="e">
        <f t="shared" si="15"/>
        <v>#N/A</v>
      </c>
      <c r="L125" s="14" t="e">
        <f t="shared" si="12"/>
        <v>#N/A</v>
      </c>
      <c r="M125" s="17" t="str">
        <f t="shared" si="13"/>
        <v/>
      </c>
      <c r="N125" s="18" t="str">
        <f t="shared" si="14"/>
        <v/>
      </c>
      <c r="O125" s="3"/>
      <c r="P125" s="3"/>
      <c r="T125" s="2" t="s">
        <v>141</v>
      </c>
      <c r="U125" s="19"/>
      <c r="V125" s="3" t="str">
        <f t="shared" si="16"/>
        <v/>
      </c>
      <c r="W125" s="34" t="str">
        <f t="shared" si="17"/>
        <v>0</v>
      </c>
    </row>
    <row r="126" spans="1:23" x14ac:dyDescent="0.35">
      <c r="A126" s="1">
        <v>124</v>
      </c>
      <c r="B126" s="15"/>
      <c r="C126" s="16"/>
      <c r="D126" s="16"/>
      <c r="E126" s="16"/>
      <c r="F126" s="3"/>
      <c r="G126" s="3"/>
      <c r="H126" s="3" t="e">
        <f t="shared" si="9"/>
        <v>#N/A</v>
      </c>
      <c r="I126" s="3" t="str">
        <f t="shared" si="10"/>
        <v>00</v>
      </c>
      <c r="J126" s="3" t="str">
        <f t="shared" si="11"/>
        <v>00</v>
      </c>
      <c r="K126" s="11" t="e">
        <f t="shared" si="15"/>
        <v>#N/A</v>
      </c>
      <c r="L126" s="14" t="e">
        <f t="shared" si="12"/>
        <v>#N/A</v>
      </c>
      <c r="M126" s="17" t="str">
        <f t="shared" si="13"/>
        <v/>
      </c>
      <c r="N126" s="18" t="str">
        <f t="shared" si="14"/>
        <v/>
      </c>
      <c r="O126" s="3"/>
      <c r="P126" s="3"/>
      <c r="T126" s="2" t="s">
        <v>141</v>
      </c>
      <c r="U126" s="19"/>
      <c r="V126" s="3" t="str">
        <f t="shared" si="16"/>
        <v/>
      </c>
      <c r="W126" s="34" t="str">
        <f t="shared" si="17"/>
        <v>0</v>
      </c>
    </row>
    <row r="127" spans="1:23" x14ac:dyDescent="0.35">
      <c r="A127" s="1">
        <v>125</v>
      </c>
      <c r="B127" s="15"/>
      <c r="C127" s="16"/>
      <c r="D127" s="16"/>
      <c r="E127" s="16"/>
      <c r="F127" s="3"/>
      <c r="G127" s="3"/>
      <c r="H127" s="3" t="e">
        <f t="shared" si="9"/>
        <v>#N/A</v>
      </c>
      <c r="I127" s="3" t="str">
        <f t="shared" si="10"/>
        <v>00</v>
      </c>
      <c r="J127" s="3" t="str">
        <f t="shared" si="11"/>
        <v>00</v>
      </c>
      <c r="K127" s="11" t="e">
        <f t="shared" si="15"/>
        <v>#N/A</v>
      </c>
      <c r="L127" s="14" t="e">
        <f t="shared" si="12"/>
        <v>#N/A</v>
      </c>
      <c r="M127" s="17" t="str">
        <f t="shared" si="13"/>
        <v/>
      </c>
      <c r="N127" s="18" t="str">
        <f t="shared" si="14"/>
        <v/>
      </c>
      <c r="O127" s="3"/>
      <c r="P127" s="3"/>
      <c r="T127" s="2" t="s">
        <v>141</v>
      </c>
      <c r="U127" s="19"/>
      <c r="V127" s="3" t="str">
        <f t="shared" si="16"/>
        <v/>
      </c>
      <c r="W127" s="34" t="str">
        <f t="shared" si="17"/>
        <v>0</v>
      </c>
    </row>
    <row r="128" spans="1:23" x14ac:dyDescent="0.35">
      <c r="A128" s="1">
        <v>126</v>
      </c>
      <c r="B128" s="15"/>
      <c r="C128" s="16"/>
      <c r="D128" s="16"/>
      <c r="E128" s="16"/>
      <c r="F128" s="3"/>
      <c r="G128" s="3"/>
      <c r="H128" s="3" t="e">
        <f t="shared" si="9"/>
        <v>#N/A</v>
      </c>
      <c r="I128" s="3" t="str">
        <f t="shared" si="10"/>
        <v>00</v>
      </c>
      <c r="J128" s="3" t="str">
        <f t="shared" si="11"/>
        <v>00</v>
      </c>
      <c r="K128" s="11" t="e">
        <f t="shared" si="15"/>
        <v>#N/A</v>
      </c>
      <c r="L128" s="14" t="e">
        <f t="shared" si="12"/>
        <v>#N/A</v>
      </c>
      <c r="M128" s="17" t="str">
        <f t="shared" si="13"/>
        <v/>
      </c>
      <c r="N128" s="18" t="str">
        <f t="shared" si="14"/>
        <v/>
      </c>
      <c r="O128" s="3"/>
      <c r="P128" s="3"/>
      <c r="T128" s="2" t="s">
        <v>141</v>
      </c>
      <c r="U128" s="19"/>
      <c r="V128" s="3" t="str">
        <f t="shared" si="16"/>
        <v/>
      </c>
      <c r="W128" s="34" t="str">
        <f t="shared" si="17"/>
        <v>0</v>
      </c>
    </row>
    <row r="129" spans="1:23" x14ac:dyDescent="0.35">
      <c r="A129" s="1">
        <v>127</v>
      </c>
      <c r="B129" s="15"/>
      <c r="C129" s="16"/>
      <c r="D129" s="16"/>
      <c r="E129" s="16"/>
      <c r="F129" s="3"/>
      <c r="G129" s="3"/>
      <c r="H129" s="3" t="e">
        <f t="shared" si="9"/>
        <v>#N/A</v>
      </c>
      <c r="I129" s="3" t="str">
        <f t="shared" si="10"/>
        <v>00</v>
      </c>
      <c r="J129" s="3" t="str">
        <f t="shared" si="11"/>
        <v>00</v>
      </c>
      <c r="K129" s="11" t="e">
        <f t="shared" si="15"/>
        <v>#N/A</v>
      </c>
      <c r="L129" s="14" t="e">
        <f t="shared" si="12"/>
        <v>#N/A</v>
      </c>
      <c r="M129" s="17" t="str">
        <f t="shared" si="13"/>
        <v/>
      </c>
      <c r="N129" s="18" t="str">
        <f t="shared" si="14"/>
        <v/>
      </c>
      <c r="O129" s="3"/>
      <c r="P129" s="3"/>
      <c r="T129" s="2" t="s">
        <v>141</v>
      </c>
      <c r="U129" s="19"/>
      <c r="V129" s="3" t="str">
        <f t="shared" si="16"/>
        <v/>
      </c>
      <c r="W129" s="34" t="str">
        <f t="shared" si="17"/>
        <v>0</v>
      </c>
    </row>
    <row r="130" spans="1:23" x14ac:dyDescent="0.35">
      <c r="A130" s="1">
        <v>128</v>
      </c>
      <c r="B130" s="15"/>
      <c r="C130" s="16"/>
      <c r="D130" s="16"/>
      <c r="E130" s="16"/>
      <c r="F130" s="3"/>
      <c r="G130" s="3"/>
      <c r="H130" s="3" t="e">
        <f t="shared" si="9"/>
        <v>#N/A</v>
      </c>
      <c r="I130" s="3" t="str">
        <f t="shared" si="10"/>
        <v>00</v>
      </c>
      <c r="J130" s="3" t="str">
        <f t="shared" si="11"/>
        <v>00</v>
      </c>
      <c r="K130" s="11" t="e">
        <f t="shared" si="15"/>
        <v>#N/A</v>
      </c>
      <c r="L130" s="14" t="e">
        <f t="shared" si="12"/>
        <v>#N/A</v>
      </c>
      <c r="M130" s="17" t="str">
        <f t="shared" si="13"/>
        <v/>
      </c>
      <c r="N130" s="18" t="str">
        <f t="shared" si="14"/>
        <v/>
      </c>
      <c r="O130" s="3"/>
      <c r="P130" s="3"/>
      <c r="T130" s="2" t="s">
        <v>141</v>
      </c>
      <c r="U130" s="19"/>
      <c r="V130" s="3" t="str">
        <f t="shared" si="16"/>
        <v/>
      </c>
      <c r="W130" s="34" t="str">
        <f t="shared" si="17"/>
        <v>0</v>
      </c>
    </row>
    <row r="131" spans="1:23" x14ac:dyDescent="0.35">
      <c r="A131" s="1">
        <v>129</v>
      </c>
      <c r="B131" s="15"/>
      <c r="C131" s="16"/>
      <c r="D131" s="16"/>
      <c r="E131" s="16"/>
      <c r="F131" s="3"/>
      <c r="G131" s="3"/>
      <c r="H131" s="3" t="e">
        <f t="shared" ref="H131:H194" si="18">VLOOKUP(B131,$F$2:$G$39,2,FALSE)</f>
        <v>#N/A</v>
      </c>
      <c r="I131" s="3" t="str">
        <f t="shared" ref="I131:I194" si="19">IF(ISERROR(VLOOKUP(C131,F:G,2,FALSE)),"00",(VLOOKUP(C131,F:G,2,FALSE)))</f>
        <v>00</v>
      </c>
      <c r="J131" s="3" t="str">
        <f t="shared" ref="J131:J194" si="20">IF(ISERROR(VLOOKUP(D131,F:G,2,FALSE)),"00",(VLOOKUP(D131,F:G,2,FALSE)))</f>
        <v>00</v>
      </c>
      <c r="K131" s="11" t="e">
        <f t="shared" si="15"/>
        <v>#N/A</v>
      </c>
      <c r="L131" s="14" t="e">
        <f t="shared" ref="L131:L194" si="21">IF(LEN(K131)&gt;8,H131,K131)</f>
        <v>#N/A</v>
      </c>
      <c r="M131" s="17" t="str">
        <f t="shared" ref="M131:M194" si="22">IF(ISERROR(VLOOKUP(L131,L:L,1,FALSE)),"",(VLOOKUP(L131,L:L,1,FALSE)))</f>
        <v/>
      </c>
      <c r="N131" s="18" t="str">
        <f t="shared" ref="N131:N194" si="23">IF(ISERROR(VLOOKUP(E131,E:E,1,FALSE)),"",(VLOOKUP(E131,E:E,1,FALSE)))</f>
        <v/>
      </c>
      <c r="O131" s="3"/>
      <c r="P131" s="3"/>
      <c r="T131" s="2" t="s">
        <v>141</v>
      </c>
      <c r="U131" s="19"/>
      <c r="V131" s="3" t="str">
        <f t="shared" si="16"/>
        <v/>
      </c>
      <c r="W131" s="34" t="str">
        <f t="shared" si="17"/>
        <v>0</v>
      </c>
    </row>
    <row r="132" spans="1:23" x14ac:dyDescent="0.35">
      <c r="A132" s="1">
        <v>130</v>
      </c>
      <c r="B132" s="15"/>
      <c r="C132" s="16"/>
      <c r="D132" s="16"/>
      <c r="E132" s="16"/>
      <c r="F132" s="3"/>
      <c r="G132" s="3"/>
      <c r="H132" s="3" t="e">
        <f t="shared" si="18"/>
        <v>#N/A</v>
      </c>
      <c r="I132" s="3" t="str">
        <f t="shared" si="19"/>
        <v>00</v>
      </c>
      <c r="J132" s="3" t="str">
        <f t="shared" si="20"/>
        <v>00</v>
      </c>
      <c r="K132" s="11" t="e">
        <f t="shared" ref="K132:K195" si="24">CONCATENATE(H132,I132,J132)</f>
        <v>#N/A</v>
      </c>
      <c r="L132" s="14" t="e">
        <f t="shared" si="21"/>
        <v>#N/A</v>
      </c>
      <c r="M132" s="17" t="str">
        <f t="shared" si="22"/>
        <v/>
      </c>
      <c r="N132" s="18" t="str">
        <f t="shared" si="23"/>
        <v/>
      </c>
      <c r="O132" s="3"/>
      <c r="P132" s="3"/>
      <c r="T132" s="2" t="s">
        <v>141</v>
      </c>
      <c r="U132" s="19"/>
      <c r="V132" s="3" t="str">
        <f t="shared" ref="V132:V195" si="25">IF(ISERROR(VLOOKUP(U131,U:U,1,FALSE)),"",(VLOOKUP(U131,U:U,1,FALSE)))</f>
        <v/>
      </c>
      <c r="W132" s="34" t="str">
        <f t="shared" ref="W132:W195" si="26">BIN2HEX(V132)</f>
        <v>0</v>
      </c>
    </row>
    <row r="133" spans="1:23" x14ac:dyDescent="0.35">
      <c r="A133" s="1">
        <v>131</v>
      </c>
      <c r="B133" s="15"/>
      <c r="C133" s="16"/>
      <c r="D133" s="16"/>
      <c r="E133" s="16"/>
      <c r="F133" s="3"/>
      <c r="G133" s="3"/>
      <c r="H133" s="3" t="e">
        <f t="shared" si="18"/>
        <v>#N/A</v>
      </c>
      <c r="I133" s="3" t="str">
        <f t="shared" si="19"/>
        <v>00</v>
      </c>
      <c r="J133" s="3" t="str">
        <f t="shared" si="20"/>
        <v>00</v>
      </c>
      <c r="K133" s="11" t="e">
        <f t="shared" si="24"/>
        <v>#N/A</v>
      </c>
      <c r="L133" s="14" t="e">
        <f t="shared" si="21"/>
        <v>#N/A</v>
      </c>
      <c r="M133" s="17" t="str">
        <f t="shared" si="22"/>
        <v/>
      </c>
      <c r="N133" s="18" t="str">
        <f t="shared" si="23"/>
        <v/>
      </c>
      <c r="O133" s="3"/>
      <c r="P133" s="3"/>
      <c r="T133" s="2" t="s">
        <v>141</v>
      </c>
      <c r="U133" s="19"/>
      <c r="V133" s="3" t="str">
        <f t="shared" si="25"/>
        <v/>
      </c>
      <c r="W133" s="34" t="str">
        <f t="shared" si="26"/>
        <v>0</v>
      </c>
    </row>
    <row r="134" spans="1:23" x14ac:dyDescent="0.35">
      <c r="A134" s="1">
        <v>132</v>
      </c>
      <c r="B134" s="15"/>
      <c r="C134" s="16"/>
      <c r="D134" s="16"/>
      <c r="E134" s="16"/>
      <c r="F134" s="3"/>
      <c r="G134" s="3"/>
      <c r="H134" s="3" t="e">
        <f t="shared" si="18"/>
        <v>#N/A</v>
      </c>
      <c r="I134" s="3" t="str">
        <f t="shared" si="19"/>
        <v>00</v>
      </c>
      <c r="J134" s="3" t="str">
        <f t="shared" si="20"/>
        <v>00</v>
      </c>
      <c r="K134" s="11" t="e">
        <f t="shared" si="24"/>
        <v>#N/A</v>
      </c>
      <c r="L134" s="14" t="e">
        <f t="shared" si="21"/>
        <v>#N/A</v>
      </c>
      <c r="M134" s="17" t="str">
        <f t="shared" si="22"/>
        <v/>
      </c>
      <c r="N134" s="18" t="str">
        <f t="shared" si="23"/>
        <v/>
      </c>
      <c r="O134" s="3"/>
      <c r="P134" s="3"/>
      <c r="T134" s="2" t="s">
        <v>141</v>
      </c>
      <c r="U134" s="19"/>
      <c r="V134" s="3" t="str">
        <f t="shared" si="25"/>
        <v/>
      </c>
      <c r="W134" s="34" t="str">
        <f t="shared" si="26"/>
        <v>0</v>
      </c>
    </row>
    <row r="135" spans="1:23" x14ac:dyDescent="0.35">
      <c r="A135" s="1">
        <v>133</v>
      </c>
      <c r="B135" s="15"/>
      <c r="C135" s="16"/>
      <c r="D135" s="16"/>
      <c r="E135" s="16"/>
      <c r="F135" s="3"/>
      <c r="G135" s="3"/>
      <c r="H135" s="3" t="e">
        <f t="shared" si="18"/>
        <v>#N/A</v>
      </c>
      <c r="I135" s="3" t="str">
        <f t="shared" si="19"/>
        <v>00</v>
      </c>
      <c r="J135" s="3" t="str">
        <f t="shared" si="20"/>
        <v>00</v>
      </c>
      <c r="K135" s="11" t="e">
        <f t="shared" si="24"/>
        <v>#N/A</v>
      </c>
      <c r="L135" s="14" t="e">
        <f t="shared" si="21"/>
        <v>#N/A</v>
      </c>
      <c r="M135" s="17" t="str">
        <f t="shared" si="22"/>
        <v/>
      </c>
      <c r="N135" s="18" t="str">
        <f t="shared" si="23"/>
        <v/>
      </c>
      <c r="O135" s="3"/>
      <c r="P135" s="3"/>
      <c r="T135" s="2" t="s">
        <v>141</v>
      </c>
      <c r="U135" s="19"/>
      <c r="V135" s="3" t="str">
        <f t="shared" si="25"/>
        <v/>
      </c>
      <c r="W135" s="34" t="str">
        <f t="shared" si="26"/>
        <v>0</v>
      </c>
    </row>
    <row r="136" spans="1:23" x14ac:dyDescent="0.35">
      <c r="A136" s="1">
        <v>134</v>
      </c>
      <c r="B136" s="15"/>
      <c r="C136" s="16"/>
      <c r="D136" s="16"/>
      <c r="E136" s="16"/>
      <c r="F136" s="3"/>
      <c r="G136" s="3"/>
      <c r="H136" s="3" t="e">
        <f t="shared" si="18"/>
        <v>#N/A</v>
      </c>
      <c r="I136" s="3" t="str">
        <f t="shared" si="19"/>
        <v>00</v>
      </c>
      <c r="J136" s="3" t="str">
        <f t="shared" si="20"/>
        <v>00</v>
      </c>
      <c r="K136" s="11" t="e">
        <f t="shared" si="24"/>
        <v>#N/A</v>
      </c>
      <c r="L136" s="14" t="e">
        <f t="shared" si="21"/>
        <v>#N/A</v>
      </c>
      <c r="M136" s="17" t="str">
        <f t="shared" si="22"/>
        <v/>
      </c>
      <c r="N136" s="18" t="str">
        <f t="shared" si="23"/>
        <v/>
      </c>
      <c r="O136" s="3"/>
      <c r="P136" s="3"/>
      <c r="T136" s="2" t="s">
        <v>141</v>
      </c>
      <c r="U136" s="19"/>
      <c r="V136" s="3" t="str">
        <f t="shared" si="25"/>
        <v/>
      </c>
      <c r="W136" s="34" t="str">
        <f t="shared" si="26"/>
        <v>0</v>
      </c>
    </row>
    <row r="137" spans="1:23" x14ac:dyDescent="0.35">
      <c r="A137" s="1">
        <v>135</v>
      </c>
      <c r="B137" s="15"/>
      <c r="C137" s="16"/>
      <c r="D137" s="16"/>
      <c r="E137" s="16"/>
      <c r="F137" s="3"/>
      <c r="G137" s="3"/>
      <c r="H137" s="3" t="e">
        <f t="shared" si="18"/>
        <v>#N/A</v>
      </c>
      <c r="I137" s="3" t="str">
        <f t="shared" si="19"/>
        <v>00</v>
      </c>
      <c r="J137" s="3" t="str">
        <f t="shared" si="20"/>
        <v>00</v>
      </c>
      <c r="K137" s="11" t="e">
        <f t="shared" si="24"/>
        <v>#N/A</v>
      </c>
      <c r="L137" s="14" t="e">
        <f t="shared" si="21"/>
        <v>#N/A</v>
      </c>
      <c r="M137" s="17" t="str">
        <f t="shared" si="22"/>
        <v/>
      </c>
      <c r="N137" s="18" t="str">
        <f t="shared" si="23"/>
        <v/>
      </c>
      <c r="O137" s="3"/>
      <c r="P137" s="3"/>
      <c r="T137" s="2" t="s">
        <v>141</v>
      </c>
      <c r="U137" s="19"/>
      <c r="V137" s="3" t="str">
        <f t="shared" si="25"/>
        <v/>
      </c>
      <c r="W137" s="34" t="str">
        <f t="shared" si="26"/>
        <v>0</v>
      </c>
    </row>
    <row r="138" spans="1:23" x14ac:dyDescent="0.35">
      <c r="A138" s="1">
        <v>136</v>
      </c>
      <c r="B138" s="15"/>
      <c r="C138" s="16"/>
      <c r="D138" s="16"/>
      <c r="E138" s="16"/>
      <c r="F138" s="3"/>
      <c r="G138" s="3"/>
      <c r="H138" s="3" t="e">
        <f t="shared" si="18"/>
        <v>#N/A</v>
      </c>
      <c r="I138" s="3" t="str">
        <f t="shared" si="19"/>
        <v>00</v>
      </c>
      <c r="J138" s="3" t="str">
        <f t="shared" si="20"/>
        <v>00</v>
      </c>
      <c r="K138" s="11" t="e">
        <f t="shared" si="24"/>
        <v>#N/A</v>
      </c>
      <c r="L138" s="14" t="e">
        <f t="shared" si="21"/>
        <v>#N/A</v>
      </c>
      <c r="M138" s="17" t="str">
        <f t="shared" si="22"/>
        <v/>
      </c>
      <c r="N138" s="18" t="str">
        <f t="shared" si="23"/>
        <v/>
      </c>
      <c r="O138" s="3"/>
      <c r="P138" s="3"/>
      <c r="T138" s="2" t="s">
        <v>141</v>
      </c>
      <c r="U138" s="19"/>
      <c r="V138" s="3" t="str">
        <f t="shared" si="25"/>
        <v/>
      </c>
      <c r="W138" s="34" t="str">
        <f t="shared" si="26"/>
        <v>0</v>
      </c>
    </row>
    <row r="139" spans="1:23" x14ac:dyDescent="0.35">
      <c r="A139" s="1">
        <v>137</v>
      </c>
      <c r="B139" s="15"/>
      <c r="C139" s="16"/>
      <c r="D139" s="16"/>
      <c r="E139" s="16"/>
      <c r="F139" s="3"/>
      <c r="G139" s="3"/>
      <c r="H139" s="3" t="e">
        <f t="shared" si="18"/>
        <v>#N/A</v>
      </c>
      <c r="I139" s="3" t="str">
        <f t="shared" si="19"/>
        <v>00</v>
      </c>
      <c r="J139" s="3" t="str">
        <f t="shared" si="20"/>
        <v>00</v>
      </c>
      <c r="K139" s="11" t="e">
        <f t="shared" si="24"/>
        <v>#N/A</v>
      </c>
      <c r="L139" s="14" t="e">
        <f t="shared" si="21"/>
        <v>#N/A</v>
      </c>
      <c r="M139" s="17" t="str">
        <f t="shared" si="22"/>
        <v/>
      </c>
      <c r="N139" s="18" t="str">
        <f t="shared" si="23"/>
        <v/>
      </c>
      <c r="O139" s="3"/>
      <c r="P139" s="3"/>
      <c r="T139" s="2" t="s">
        <v>141</v>
      </c>
      <c r="U139" s="19"/>
      <c r="V139" s="3" t="str">
        <f t="shared" si="25"/>
        <v/>
      </c>
      <c r="W139" s="34" t="str">
        <f t="shared" si="26"/>
        <v>0</v>
      </c>
    </row>
    <row r="140" spans="1:23" x14ac:dyDescent="0.35">
      <c r="A140" s="1">
        <v>138</v>
      </c>
      <c r="B140" s="15"/>
      <c r="C140" s="16"/>
      <c r="D140" s="16"/>
      <c r="E140" s="16"/>
      <c r="F140" s="3"/>
      <c r="G140" s="3"/>
      <c r="H140" s="3" t="e">
        <f t="shared" si="18"/>
        <v>#N/A</v>
      </c>
      <c r="I140" s="3" t="str">
        <f t="shared" si="19"/>
        <v>00</v>
      </c>
      <c r="J140" s="3" t="str">
        <f t="shared" si="20"/>
        <v>00</v>
      </c>
      <c r="K140" s="11" t="e">
        <f t="shared" si="24"/>
        <v>#N/A</v>
      </c>
      <c r="L140" s="14" t="e">
        <f t="shared" si="21"/>
        <v>#N/A</v>
      </c>
      <c r="M140" s="17" t="str">
        <f t="shared" si="22"/>
        <v/>
      </c>
      <c r="N140" s="18" t="str">
        <f t="shared" si="23"/>
        <v/>
      </c>
      <c r="O140" s="3"/>
      <c r="P140" s="3"/>
      <c r="T140" s="2" t="s">
        <v>141</v>
      </c>
      <c r="U140" s="19"/>
      <c r="V140" s="3" t="str">
        <f t="shared" si="25"/>
        <v/>
      </c>
      <c r="W140" s="34" t="str">
        <f t="shared" si="26"/>
        <v>0</v>
      </c>
    </row>
    <row r="141" spans="1:23" x14ac:dyDescent="0.35">
      <c r="A141" s="1">
        <v>139</v>
      </c>
      <c r="B141" s="15"/>
      <c r="C141" s="16"/>
      <c r="D141" s="16"/>
      <c r="E141" s="16"/>
      <c r="F141" s="3"/>
      <c r="G141" s="3"/>
      <c r="H141" s="3" t="e">
        <f t="shared" si="18"/>
        <v>#N/A</v>
      </c>
      <c r="I141" s="3" t="str">
        <f t="shared" si="19"/>
        <v>00</v>
      </c>
      <c r="J141" s="3" t="str">
        <f t="shared" si="20"/>
        <v>00</v>
      </c>
      <c r="K141" s="11" t="e">
        <f t="shared" si="24"/>
        <v>#N/A</v>
      </c>
      <c r="L141" s="14" t="e">
        <f t="shared" si="21"/>
        <v>#N/A</v>
      </c>
      <c r="M141" s="17" t="str">
        <f t="shared" si="22"/>
        <v/>
      </c>
      <c r="N141" s="18" t="str">
        <f t="shared" si="23"/>
        <v/>
      </c>
      <c r="O141" s="3"/>
      <c r="P141" s="3"/>
      <c r="T141" s="2" t="s">
        <v>141</v>
      </c>
      <c r="U141" s="19"/>
      <c r="V141" s="3" t="str">
        <f t="shared" si="25"/>
        <v/>
      </c>
      <c r="W141" s="34" t="str">
        <f t="shared" si="26"/>
        <v>0</v>
      </c>
    </row>
    <row r="142" spans="1:23" x14ac:dyDescent="0.35">
      <c r="A142" s="1">
        <v>140</v>
      </c>
      <c r="B142" s="15"/>
      <c r="C142" s="16"/>
      <c r="D142" s="16"/>
      <c r="E142" s="16"/>
      <c r="F142" s="3"/>
      <c r="G142" s="3"/>
      <c r="H142" s="3" t="e">
        <f t="shared" si="18"/>
        <v>#N/A</v>
      </c>
      <c r="I142" s="3" t="str">
        <f t="shared" si="19"/>
        <v>00</v>
      </c>
      <c r="J142" s="3" t="str">
        <f t="shared" si="20"/>
        <v>00</v>
      </c>
      <c r="K142" s="11" t="e">
        <f t="shared" si="24"/>
        <v>#N/A</v>
      </c>
      <c r="L142" s="14" t="e">
        <f t="shared" si="21"/>
        <v>#N/A</v>
      </c>
      <c r="M142" s="17" t="str">
        <f t="shared" si="22"/>
        <v/>
      </c>
      <c r="N142" s="18" t="str">
        <f t="shared" si="23"/>
        <v/>
      </c>
      <c r="O142" s="3"/>
      <c r="P142" s="3"/>
      <c r="T142" s="2" t="s">
        <v>141</v>
      </c>
      <c r="U142" s="19"/>
      <c r="V142" s="3" t="str">
        <f t="shared" si="25"/>
        <v/>
      </c>
      <c r="W142" s="34" t="str">
        <f t="shared" si="26"/>
        <v>0</v>
      </c>
    </row>
    <row r="143" spans="1:23" x14ac:dyDescent="0.35">
      <c r="A143" s="1">
        <v>141</v>
      </c>
      <c r="B143" s="15"/>
      <c r="C143" s="16"/>
      <c r="D143" s="16"/>
      <c r="E143" s="16"/>
      <c r="F143" s="3"/>
      <c r="G143" s="3"/>
      <c r="H143" s="3" t="e">
        <f t="shared" si="18"/>
        <v>#N/A</v>
      </c>
      <c r="I143" s="3" t="str">
        <f t="shared" si="19"/>
        <v>00</v>
      </c>
      <c r="J143" s="3" t="str">
        <f t="shared" si="20"/>
        <v>00</v>
      </c>
      <c r="K143" s="11" t="e">
        <f t="shared" si="24"/>
        <v>#N/A</v>
      </c>
      <c r="L143" s="14" t="e">
        <f t="shared" si="21"/>
        <v>#N/A</v>
      </c>
      <c r="M143" s="17" t="str">
        <f t="shared" si="22"/>
        <v/>
      </c>
      <c r="N143" s="18" t="str">
        <f t="shared" si="23"/>
        <v/>
      </c>
      <c r="O143" s="3"/>
      <c r="P143" s="3"/>
      <c r="T143" s="2" t="s">
        <v>141</v>
      </c>
      <c r="U143" s="19"/>
      <c r="V143" s="3" t="str">
        <f t="shared" si="25"/>
        <v/>
      </c>
      <c r="W143" s="34" t="str">
        <f t="shared" si="26"/>
        <v>0</v>
      </c>
    </row>
    <row r="144" spans="1:23" x14ac:dyDescent="0.35">
      <c r="A144" s="1">
        <v>142</v>
      </c>
      <c r="B144" s="15"/>
      <c r="C144" s="16"/>
      <c r="D144" s="16"/>
      <c r="E144" s="16"/>
      <c r="F144" s="3"/>
      <c r="G144" s="3"/>
      <c r="H144" s="3" t="e">
        <f t="shared" si="18"/>
        <v>#N/A</v>
      </c>
      <c r="I144" s="3" t="str">
        <f t="shared" si="19"/>
        <v>00</v>
      </c>
      <c r="J144" s="3" t="str">
        <f t="shared" si="20"/>
        <v>00</v>
      </c>
      <c r="K144" s="11" t="e">
        <f t="shared" si="24"/>
        <v>#N/A</v>
      </c>
      <c r="L144" s="14" t="e">
        <f t="shared" si="21"/>
        <v>#N/A</v>
      </c>
      <c r="M144" s="17" t="str">
        <f t="shared" si="22"/>
        <v/>
      </c>
      <c r="N144" s="18" t="str">
        <f t="shared" si="23"/>
        <v/>
      </c>
      <c r="O144" s="3"/>
      <c r="P144" s="3"/>
      <c r="T144" s="2" t="s">
        <v>141</v>
      </c>
      <c r="U144" s="19"/>
      <c r="V144" s="3" t="str">
        <f t="shared" si="25"/>
        <v/>
      </c>
      <c r="W144" s="34" t="str">
        <f t="shared" si="26"/>
        <v>0</v>
      </c>
    </row>
    <row r="145" spans="1:23" x14ac:dyDescent="0.35">
      <c r="A145" s="1">
        <v>143</v>
      </c>
      <c r="B145" s="15"/>
      <c r="C145" s="16"/>
      <c r="D145" s="16"/>
      <c r="E145" s="16"/>
      <c r="F145" s="3"/>
      <c r="G145" s="3"/>
      <c r="H145" s="3" t="e">
        <f t="shared" si="18"/>
        <v>#N/A</v>
      </c>
      <c r="I145" s="3" t="str">
        <f t="shared" si="19"/>
        <v>00</v>
      </c>
      <c r="J145" s="3" t="str">
        <f t="shared" si="20"/>
        <v>00</v>
      </c>
      <c r="K145" s="11" t="e">
        <f t="shared" si="24"/>
        <v>#N/A</v>
      </c>
      <c r="L145" s="14" t="e">
        <f t="shared" si="21"/>
        <v>#N/A</v>
      </c>
      <c r="M145" s="17" t="str">
        <f t="shared" si="22"/>
        <v/>
      </c>
      <c r="N145" s="18" t="str">
        <f t="shared" si="23"/>
        <v/>
      </c>
      <c r="O145" s="3"/>
      <c r="P145" s="3"/>
      <c r="T145" s="2" t="s">
        <v>141</v>
      </c>
      <c r="U145" s="19"/>
      <c r="V145" s="3" t="str">
        <f t="shared" si="25"/>
        <v/>
      </c>
      <c r="W145" s="34" t="str">
        <f t="shared" si="26"/>
        <v>0</v>
      </c>
    </row>
    <row r="146" spans="1:23" x14ac:dyDescent="0.35">
      <c r="A146" s="1">
        <v>144</v>
      </c>
      <c r="B146" s="15"/>
      <c r="C146" s="16"/>
      <c r="D146" s="16"/>
      <c r="E146" s="16"/>
      <c r="F146" s="3"/>
      <c r="G146" s="3"/>
      <c r="H146" s="3" t="e">
        <f t="shared" si="18"/>
        <v>#N/A</v>
      </c>
      <c r="I146" s="3" t="str">
        <f t="shared" si="19"/>
        <v>00</v>
      </c>
      <c r="J146" s="3" t="str">
        <f t="shared" si="20"/>
        <v>00</v>
      </c>
      <c r="K146" s="11" t="e">
        <f t="shared" si="24"/>
        <v>#N/A</v>
      </c>
      <c r="L146" s="14" t="e">
        <f t="shared" si="21"/>
        <v>#N/A</v>
      </c>
      <c r="M146" s="17" t="str">
        <f t="shared" si="22"/>
        <v/>
      </c>
      <c r="N146" s="18" t="str">
        <f t="shared" si="23"/>
        <v/>
      </c>
      <c r="O146" s="3"/>
      <c r="P146" s="3"/>
      <c r="T146" s="2" t="s">
        <v>141</v>
      </c>
      <c r="U146" s="19"/>
      <c r="V146" s="3" t="str">
        <f t="shared" si="25"/>
        <v/>
      </c>
      <c r="W146" s="34" t="str">
        <f t="shared" si="26"/>
        <v>0</v>
      </c>
    </row>
    <row r="147" spans="1:23" x14ac:dyDescent="0.35">
      <c r="A147" s="1">
        <v>145</v>
      </c>
      <c r="B147" s="15"/>
      <c r="C147" s="16"/>
      <c r="D147" s="16"/>
      <c r="E147" s="16"/>
      <c r="F147" s="3"/>
      <c r="G147" s="3"/>
      <c r="H147" s="3" t="e">
        <f t="shared" si="18"/>
        <v>#N/A</v>
      </c>
      <c r="I147" s="3" t="str">
        <f t="shared" si="19"/>
        <v>00</v>
      </c>
      <c r="J147" s="3" t="str">
        <f t="shared" si="20"/>
        <v>00</v>
      </c>
      <c r="K147" s="11" t="e">
        <f t="shared" si="24"/>
        <v>#N/A</v>
      </c>
      <c r="L147" s="14" t="e">
        <f t="shared" si="21"/>
        <v>#N/A</v>
      </c>
      <c r="M147" s="17" t="str">
        <f t="shared" si="22"/>
        <v/>
      </c>
      <c r="N147" s="18" t="str">
        <f t="shared" si="23"/>
        <v/>
      </c>
      <c r="O147" s="3"/>
      <c r="P147" s="3"/>
      <c r="T147" s="2" t="s">
        <v>141</v>
      </c>
      <c r="U147" s="19"/>
      <c r="V147" s="3" t="str">
        <f t="shared" si="25"/>
        <v/>
      </c>
      <c r="W147" s="34" t="str">
        <f t="shared" si="26"/>
        <v>0</v>
      </c>
    </row>
    <row r="148" spans="1:23" x14ac:dyDescent="0.35">
      <c r="A148" s="1">
        <v>146</v>
      </c>
      <c r="B148" s="15"/>
      <c r="C148" s="16"/>
      <c r="D148" s="16"/>
      <c r="E148" s="16"/>
      <c r="F148" s="3"/>
      <c r="G148" s="3"/>
      <c r="H148" s="3" t="e">
        <f t="shared" si="18"/>
        <v>#N/A</v>
      </c>
      <c r="I148" s="3" t="str">
        <f t="shared" si="19"/>
        <v>00</v>
      </c>
      <c r="J148" s="3" t="str">
        <f t="shared" si="20"/>
        <v>00</v>
      </c>
      <c r="K148" s="11" t="e">
        <f t="shared" si="24"/>
        <v>#N/A</v>
      </c>
      <c r="L148" s="14" t="e">
        <f t="shared" si="21"/>
        <v>#N/A</v>
      </c>
      <c r="M148" s="17" t="str">
        <f t="shared" si="22"/>
        <v/>
      </c>
      <c r="N148" s="18" t="str">
        <f t="shared" si="23"/>
        <v/>
      </c>
      <c r="O148" s="3"/>
      <c r="P148" s="3"/>
      <c r="T148" s="2" t="s">
        <v>141</v>
      </c>
      <c r="U148" s="19"/>
      <c r="V148" s="3" t="str">
        <f t="shared" si="25"/>
        <v/>
      </c>
      <c r="W148" s="34" t="str">
        <f t="shared" si="26"/>
        <v>0</v>
      </c>
    </row>
    <row r="149" spans="1:23" x14ac:dyDescent="0.35">
      <c r="A149" s="1">
        <v>147</v>
      </c>
      <c r="B149" s="15"/>
      <c r="C149" s="16"/>
      <c r="D149" s="16"/>
      <c r="E149" s="16"/>
      <c r="F149" s="3"/>
      <c r="G149" s="3"/>
      <c r="H149" s="3" t="e">
        <f t="shared" si="18"/>
        <v>#N/A</v>
      </c>
      <c r="I149" s="3" t="str">
        <f t="shared" si="19"/>
        <v>00</v>
      </c>
      <c r="J149" s="3" t="str">
        <f t="shared" si="20"/>
        <v>00</v>
      </c>
      <c r="K149" s="11" t="e">
        <f t="shared" si="24"/>
        <v>#N/A</v>
      </c>
      <c r="L149" s="14" t="e">
        <f t="shared" si="21"/>
        <v>#N/A</v>
      </c>
      <c r="M149" s="17" t="str">
        <f t="shared" si="22"/>
        <v/>
      </c>
      <c r="N149" s="18" t="str">
        <f t="shared" si="23"/>
        <v/>
      </c>
      <c r="O149" s="3"/>
      <c r="P149" s="3"/>
      <c r="T149" s="2" t="s">
        <v>141</v>
      </c>
      <c r="U149" s="19"/>
      <c r="V149" s="3" t="str">
        <f t="shared" si="25"/>
        <v/>
      </c>
      <c r="W149" s="34" t="str">
        <f t="shared" si="26"/>
        <v>0</v>
      </c>
    </row>
    <row r="150" spans="1:23" x14ac:dyDescent="0.35">
      <c r="A150" s="1">
        <v>148</v>
      </c>
      <c r="B150" s="15"/>
      <c r="C150" s="16"/>
      <c r="D150" s="16"/>
      <c r="E150" s="16"/>
      <c r="F150" s="3"/>
      <c r="G150" s="3"/>
      <c r="H150" s="3" t="e">
        <f t="shared" si="18"/>
        <v>#N/A</v>
      </c>
      <c r="I150" s="3" t="str">
        <f t="shared" si="19"/>
        <v>00</v>
      </c>
      <c r="J150" s="3" t="str">
        <f t="shared" si="20"/>
        <v>00</v>
      </c>
      <c r="K150" s="11" t="e">
        <f t="shared" si="24"/>
        <v>#N/A</v>
      </c>
      <c r="L150" s="14" t="e">
        <f t="shared" si="21"/>
        <v>#N/A</v>
      </c>
      <c r="M150" s="17" t="str">
        <f t="shared" si="22"/>
        <v/>
      </c>
      <c r="N150" s="18" t="str">
        <f t="shared" si="23"/>
        <v/>
      </c>
      <c r="O150" s="3"/>
      <c r="P150" s="3"/>
      <c r="T150" s="2" t="s">
        <v>141</v>
      </c>
      <c r="U150" s="19"/>
      <c r="V150" s="3" t="str">
        <f t="shared" si="25"/>
        <v/>
      </c>
      <c r="W150" s="34" t="str">
        <f t="shared" si="26"/>
        <v>0</v>
      </c>
    </row>
    <row r="151" spans="1:23" x14ac:dyDescent="0.35">
      <c r="A151" s="1">
        <v>149</v>
      </c>
      <c r="B151" s="15"/>
      <c r="C151" s="16"/>
      <c r="D151" s="16"/>
      <c r="E151" s="16"/>
      <c r="F151" s="3"/>
      <c r="G151" s="3"/>
      <c r="H151" s="3" t="e">
        <f t="shared" si="18"/>
        <v>#N/A</v>
      </c>
      <c r="I151" s="3" t="str">
        <f t="shared" si="19"/>
        <v>00</v>
      </c>
      <c r="J151" s="3" t="str">
        <f t="shared" si="20"/>
        <v>00</v>
      </c>
      <c r="K151" s="11" t="e">
        <f t="shared" si="24"/>
        <v>#N/A</v>
      </c>
      <c r="L151" s="14" t="e">
        <f t="shared" si="21"/>
        <v>#N/A</v>
      </c>
      <c r="M151" s="17" t="str">
        <f t="shared" si="22"/>
        <v/>
      </c>
      <c r="N151" s="18" t="str">
        <f t="shared" si="23"/>
        <v/>
      </c>
      <c r="O151" s="3"/>
      <c r="P151" s="3"/>
      <c r="T151" s="2" t="s">
        <v>141</v>
      </c>
      <c r="U151" s="19"/>
      <c r="V151" s="3" t="str">
        <f t="shared" si="25"/>
        <v/>
      </c>
      <c r="W151" s="34" t="str">
        <f t="shared" si="26"/>
        <v>0</v>
      </c>
    </row>
    <row r="152" spans="1:23" x14ac:dyDescent="0.35">
      <c r="A152" s="1">
        <v>150</v>
      </c>
      <c r="B152" s="15"/>
      <c r="C152" s="16"/>
      <c r="D152" s="16"/>
      <c r="E152" s="16"/>
      <c r="F152" s="3"/>
      <c r="G152" s="3"/>
      <c r="H152" s="3" t="e">
        <f t="shared" si="18"/>
        <v>#N/A</v>
      </c>
      <c r="I152" s="3" t="str">
        <f t="shared" si="19"/>
        <v>00</v>
      </c>
      <c r="J152" s="3" t="str">
        <f t="shared" si="20"/>
        <v>00</v>
      </c>
      <c r="K152" s="11" t="e">
        <f t="shared" si="24"/>
        <v>#N/A</v>
      </c>
      <c r="L152" s="14" t="e">
        <f t="shared" si="21"/>
        <v>#N/A</v>
      </c>
      <c r="M152" s="17" t="str">
        <f t="shared" si="22"/>
        <v/>
      </c>
      <c r="N152" s="18" t="str">
        <f t="shared" si="23"/>
        <v/>
      </c>
      <c r="O152" s="3"/>
      <c r="P152" s="3"/>
      <c r="T152" s="2" t="s">
        <v>141</v>
      </c>
      <c r="U152" s="19"/>
      <c r="V152" s="3" t="str">
        <f t="shared" si="25"/>
        <v/>
      </c>
      <c r="W152" s="34" t="str">
        <f t="shared" si="26"/>
        <v>0</v>
      </c>
    </row>
    <row r="153" spans="1:23" x14ac:dyDescent="0.35">
      <c r="A153" s="1">
        <v>151</v>
      </c>
      <c r="B153" s="15"/>
      <c r="C153" s="16"/>
      <c r="D153" s="16"/>
      <c r="E153" s="16"/>
      <c r="F153" s="3"/>
      <c r="G153" s="3"/>
      <c r="H153" s="3" t="e">
        <f t="shared" si="18"/>
        <v>#N/A</v>
      </c>
      <c r="I153" s="3" t="str">
        <f t="shared" si="19"/>
        <v>00</v>
      </c>
      <c r="J153" s="3" t="str">
        <f t="shared" si="20"/>
        <v>00</v>
      </c>
      <c r="K153" s="11" t="e">
        <f t="shared" si="24"/>
        <v>#N/A</v>
      </c>
      <c r="L153" s="14" t="e">
        <f t="shared" si="21"/>
        <v>#N/A</v>
      </c>
      <c r="M153" s="17" t="str">
        <f t="shared" si="22"/>
        <v/>
      </c>
      <c r="N153" s="18" t="str">
        <f t="shared" si="23"/>
        <v/>
      </c>
      <c r="O153" s="3"/>
      <c r="P153" s="3"/>
      <c r="T153" s="2" t="s">
        <v>141</v>
      </c>
      <c r="U153" s="19"/>
      <c r="V153" s="3" t="str">
        <f t="shared" si="25"/>
        <v/>
      </c>
      <c r="W153" s="34" t="str">
        <f t="shared" si="26"/>
        <v>0</v>
      </c>
    </row>
    <row r="154" spans="1:23" x14ac:dyDescent="0.35">
      <c r="A154" s="1">
        <v>152</v>
      </c>
      <c r="B154" s="15"/>
      <c r="C154" s="16"/>
      <c r="D154" s="16"/>
      <c r="E154" s="16"/>
      <c r="F154" s="3"/>
      <c r="G154" s="3"/>
      <c r="H154" s="3" t="e">
        <f t="shared" si="18"/>
        <v>#N/A</v>
      </c>
      <c r="I154" s="3" t="str">
        <f t="shared" si="19"/>
        <v>00</v>
      </c>
      <c r="J154" s="3" t="str">
        <f t="shared" si="20"/>
        <v>00</v>
      </c>
      <c r="K154" s="11" t="e">
        <f t="shared" si="24"/>
        <v>#N/A</v>
      </c>
      <c r="L154" s="14" t="e">
        <f t="shared" si="21"/>
        <v>#N/A</v>
      </c>
      <c r="M154" s="17" t="str">
        <f t="shared" si="22"/>
        <v/>
      </c>
      <c r="N154" s="18" t="str">
        <f t="shared" si="23"/>
        <v/>
      </c>
      <c r="O154" s="3"/>
      <c r="P154" s="3"/>
      <c r="T154" s="2" t="s">
        <v>141</v>
      </c>
      <c r="U154" s="19"/>
      <c r="V154" s="3" t="str">
        <f t="shared" si="25"/>
        <v/>
      </c>
      <c r="W154" s="34" t="str">
        <f t="shared" si="26"/>
        <v>0</v>
      </c>
    </row>
    <row r="155" spans="1:23" x14ac:dyDescent="0.35">
      <c r="A155" s="1">
        <v>153</v>
      </c>
      <c r="B155" s="15"/>
      <c r="C155" s="16"/>
      <c r="D155" s="16"/>
      <c r="E155" s="16"/>
      <c r="F155" s="3"/>
      <c r="G155" s="3"/>
      <c r="H155" s="3" t="e">
        <f t="shared" si="18"/>
        <v>#N/A</v>
      </c>
      <c r="I155" s="3" t="str">
        <f t="shared" si="19"/>
        <v>00</v>
      </c>
      <c r="J155" s="3" t="str">
        <f t="shared" si="20"/>
        <v>00</v>
      </c>
      <c r="K155" s="11" t="e">
        <f t="shared" si="24"/>
        <v>#N/A</v>
      </c>
      <c r="L155" s="14" t="e">
        <f t="shared" si="21"/>
        <v>#N/A</v>
      </c>
      <c r="M155" s="17" t="str">
        <f t="shared" si="22"/>
        <v/>
      </c>
      <c r="N155" s="18" t="str">
        <f t="shared" si="23"/>
        <v/>
      </c>
      <c r="O155" s="3"/>
      <c r="P155" s="3"/>
      <c r="T155" s="2" t="s">
        <v>141</v>
      </c>
      <c r="U155" s="19"/>
      <c r="V155" s="3" t="str">
        <f t="shared" si="25"/>
        <v/>
      </c>
      <c r="W155" s="34" t="str">
        <f t="shared" si="26"/>
        <v>0</v>
      </c>
    </row>
    <row r="156" spans="1:23" x14ac:dyDescent="0.35">
      <c r="A156" s="1">
        <v>154</v>
      </c>
      <c r="B156" s="15"/>
      <c r="C156" s="16"/>
      <c r="D156" s="16"/>
      <c r="E156" s="16"/>
      <c r="F156" s="3"/>
      <c r="G156" s="3"/>
      <c r="H156" s="3" t="e">
        <f t="shared" si="18"/>
        <v>#N/A</v>
      </c>
      <c r="I156" s="3" t="str">
        <f t="shared" si="19"/>
        <v>00</v>
      </c>
      <c r="J156" s="3" t="str">
        <f t="shared" si="20"/>
        <v>00</v>
      </c>
      <c r="K156" s="11" t="e">
        <f t="shared" si="24"/>
        <v>#N/A</v>
      </c>
      <c r="L156" s="14" t="e">
        <f t="shared" si="21"/>
        <v>#N/A</v>
      </c>
      <c r="M156" s="17" t="str">
        <f t="shared" si="22"/>
        <v/>
      </c>
      <c r="N156" s="18" t="str">
        <f t="shared" si="23"/>
        <v/>
      </c>
      <c r="O156" s="3"/>
      <c r="P156" s="3"/>
      <c r="T156" s="2" t="s">
        <v>141</v>
      </c>
      <c r="U156" s="19"/>
      <c r="V156" s="3" t="str">
        <f t="shared" si="25"/>
        <v/>
      </c>
      <c r="W156" s="34" t="str">
        <f t="shared" si="26"/>
        <v>0</v>
      </c>
    </row>
    <row r="157" spans="1:23" x14ac:dyDescent="0.35">
      <c r="A157" s="1">
        <v>155</v>
      </c>
      <c r="B157" s="15"/>
      <c r="C157" s="16"/>
      <c r="D157" s="16"/>
      <c r="E157" s="16"/>
      <c r="F157" s="3"/>
      <c r="G157" s="3"/>
      <c r="H157" s="3" t="e">
        <f t="shared" si="18"/>
        <v>#N/A</v>
      </c>
      <c r="I157" s="3" t="str">
        <f t="shared" si="19"/>
        <v>00</v>
      </c>
      <c r="J157" s="3" t="str">
        <f t="shared" si="20"/>
        <v>00</v>
      </c>
      <c r="K157" s="11" t="e">
        <f t="shared" si="24"/>
        <v>#N/A</v>
      </c>
      <c r="L157" s="14" t="e">
        <f t="shared" si="21"/>
        <v>#N/A</v>
      </c>
      <c r="M157" s="17" t="str">
        <f t="shared" si="22"/>
        <v/>
      </c>
      <c r="N157" s="18" t="str">
        <f t="shared" si="23"/>
        <v/>
      </c>
      <c r="O157" s="3"/>
      <c r="P157" s="3"/>
      <c r="T157" s="2" t="s">
        <v>141</v>
      </c>
      <c r="U157" s="19"/>
      <c r="V157" s="3" t="str">
        <f t="shared" si="25"/>
        <v/>
      </c>
      <c r="W157" s="34" t="str">
        <f t="shared" si="26"/>
        <v>0</v>
      </c>
    </row>
    <row r="158" spans="1:23" x14ac:dyDescent="0.35">
      <c r="A158" s="1">
        <v>156</v>
      </c>
      <c r="B158" s="15"/>
      <c r="C158" s="16"/>
      <c r="D158" s="16"/>
      <c r="E158" s="16"/>
      <c r="F158" s="3"/>
      <c r="G158" s="3"/>
      <c r="H158" s="3" t="e">
        <f t="shared" si="18"/>
        <v>#N/A</v>
      </c>
      <c r="I158" s="3" t="str">
        <f t="shared" si="19"/>
        <v>00</v>
      </c>
      <c r="J158" s="3" t="str">
        <f t="shared" si="20"/>
        <v>00</v>
      </c>
      <c r="K158" s="11" t="e">
        <f t="shared" si="24"/>
        <v>#N/A</v>
      </c>
      <c r="L158" s="14" t="e">
        <f t="shared" si="21"/>
        <v>#N/A</v>
      </c>
      <c r="M158" s="17" t="str">
        <f t="shared" si="22"/>
        <v/>
      </c>
      <c r="N158" s="18" t="str">
        <f t="shared" si="23"/>
        <v/>
      </c>
      <c r="O158" s="3"/>
      <c r="P158" s="3"/>
      <c r="T158" s="2" t="s">
        <v>141</v>
      </c>
      <c r="U158" s="19"/>
      <c r="V158" s="3" t="str">
        <f t="shared" si="25"/>
        <v/>
      </c>
      <c r="W158" s="34" t="str">
        <f t="shared" si="26"/>
        <v>0</v>
      </c>
    </row>
    <row r="159" spans="1:23" x14ac:dyDescent="0.35">
      <c r="A159" s="1">
        <v>157</v>
      </c>
      <c r="B159" s="15"/>
      <c r="C159" s="16"/>
      <c r="D159" s="16"/>
      <c r="E159" s="16"/>
      <c r="F159" s="3"/>
      <c r="G159" s="3"/>
      <c r="H159" s="3" t="e">
        <f t="shared" si="18"/>
        <v>#N/A</v>
      </c>
      <c r="I159" s="3" t="str">
        <f t="shared" si="19"/>
        <v>00</v>
      </c>
      <c r="J159" s="3" t="str">
        <f t="shared" si="20"/>
        <v>00</v>
      </c>
      <c r="K159" s="11" t="e">
        <f t="shared" si="24"/>
        <v>#N/A</v>
      </c>
      <c r="L159" s="14" t="e">
        <f t="shared" si="21"/>
        <v>#N/A</v>
      </c>
      <c r="M159" s="17" t="str">
        <f t="shared" si="22"/>
        <v/>
      </c>
      <c r="N159" s="18" t="str">
        <f t="shared" si="23"/>
        <v/>
      </c>
      <c r="O159" s="3"/>
      <c r="P159" s="3"/>
      <c r="T159" s="2" t="s">
        <v>141</v>
      </c>
      <c r="U159" s="19"/>
      <c r="V159" s="3" t="str">
        <f t="shared" si="25"/>
        <v/>
      </c>
      <c r="W159" s="34" t="str">
        <f t="shared" si="26"/>
        <v>0</v>
      </c>
    </row>
    <row r="160" spans="1:23" x14ac:dyDescent="0.35">
      <c r="A160" s="1">
        <v>158</v>
      </c>
      <c r="B160" s="15"/>
      <c r="C160" s="16"/>
      <c r="D160" s="16"/>
      <c r="E160" s="16"/>
      <c r="F160" s="3"/>
      <c r="G160" s="3"/>
      <c r="H160" s="3" t="e">
        <f t="shared" si="18"/>
        <v>#N/A</v>
      </c>
      <c r="I160" s="3" t="str">
        <f t="shared" si="19"/>
        <v>00</v>
      </c>
      <c r="J160" s="3" t="str">
        <f t="shared" si="20"/>
        <v>00</v>
      </c>
      <c r="K160" s="11" t="e">
        <f t="shared" si="24"/>
        <v>#N/A</v>
      </c>
      <c r="L160" s="14" t="e">
        <f t="shared" si="21"/>
        <v>#N/A</v>
      </c>
      <c r="M160" s="17" t="str">
        <f t="shared" si="22"/>
        <v/>
      </c>
      <c r="N160" s="18" t="str">
        <f t="shared" si="23"/>
        <v/>
      </c>
      <c r="O160" s="3"/>
      <c r="P160" s="3"/>
      <c r="T160" s="2" t="s">
        <v>141</v>
      </c>
      <c r="U160" s="19"/>
      <c r="V160" s="3" t="str">
        <f t="shared" si="25"/>
        <v/>
      </c>
      <c r="W160" s="34" t="str">
        <f t="shared" si="26"/>
        <v>0</v>
      </c>
    </row>
    <row r="161" spans="1:23" x14ac:dyDescent="0.35">
      <c r="A161" s="1">
        <v>159</v>
      </c>
      <c r="B161" s="15"/>
      <c r="C161" s="16"/>
      <c r="D161" s="16"/>
      <c r="E161" s="16"/>
      <c r="F161" s="3"/>
      <c r="G161" s="3"/>
      <c r="H161" s="3" t="e">
        <f t="shared" si="18"/>
        <v>#N/A</v>
      </c>
      <c r="I161" s="3" t="str">
        <f t="shared" si="19"/>
        <v>00</v>
      </c>
      <c r="J161" s="3" t="str">
        <f t="shared" si="20"/>
        <v>00</v>
      </c>
      <c r="K161" s="11" t="e">
        <f t="shared" si="24"/>
        <v>#N/A</v>
      </c>
      <c r="L161" s="14" t="e">
        <f t="shared" si="21"/>
        <v>#N/A</v>
      </c>
      <c r="M161" s="17" t="str">
        <f t="shared" si="22"/>
        <v/>
      </c>
      <c r="N161" s="18" t="str">
        <f t="shared" si="23"/>
        <v/>
      </c>
      <c r="O161" s="3"/>
      <c r="P161" s="3"/>
      <c r="T161" s="2" t="s">
        <v>141</v>
      </c>
      <c r="U161" s="19"/>
      <c r="V161" s="3" t="str">
        <f t="shared" si="25"/>
        <v/>
      </c>
      <c r="W161" s="34" t="str">
        <f t="shared" si="26"/>
        <v>0</v>
      </c>
    </row>
    <row r="162" spans="1:23" x14ac:dyDescent="0.35">
      <c r="A162" s="1">
        <v>160</v>
      </c>
      <c r="B162" s="15"/>
      <c r="C162" s="16"/>
      <c r="D162" s="16"/>
      <c r="E162" s="16"/>
      <c r="F162" s="3"/>
      <c r="G162" s="3"/>
      <c r="H162" s="3" t="e">
        <f t="shared" si="18"/>
        <v>#N/A</v>
      </c>
      <c r="I162" s="3" t="str">
        <f t="shared" si="19"/>
        <v>00</v>
      </c>
      <c r="J162" s="3" t="str">
        <f t="shared" si="20"/>
        <v>00</v>
      </c>
      <c r="K162" s="11" t="e">
        <f t="shared" si="24"/>
        <v>#N/A</v>
      </c>
      <c r="L162" s="14" t="e">
        <f t="shared" si="21"/>
        <v>#N/A</v>
      </c>
      <c r="M162" s="17" t="str">
        <f t="shared" si="22"/>
        <v/>
      </c>
      <c r="N162" s="18" t="str">
        <f t="shared" si="23"/>
        <v/>
      </c>
      <c r="O162" s="3"/>
      <c r="P162" s="3"/>
      <c r="T162" s="2" t="s">
        <v>141</v>
      </c>
      <c r="U162" s="19"/>
      <c r="V162" s="3" t="str">
        <f t="shared" si="25"/>
        <v/>
      </c>
      <c r="W162" s="34" t="str">
        <f t="shared" si="26"/>
        <v>0</v>
      </c>
    </row>
    <row r="163" spans="1:23" x14ac:dyDescent="0.35">
      <c r="A163" s="1">
        <v>161</v>
      </c>
      <c r="B163" s="15"/>
      <c r="C163" s="16"/>
      <c r="D163" s="16"/>
      <c r="E163" s="16"/>
      <c r="F163" s="3"/>
      <c r="G163" s="3"/>
      <c r="H163" s="3" t="e">
        <f t="shared" si="18"/>
        <v>#N/A</v>
      </c>
      <c r="I163" s="3" t="str">
        <f t="shared" si="19"/>
        <v>00</v>
      </c>
      <c r="J163" s="3" t="str">
        <f t="shared" si="20"/>
        <v>00</v>
      </c>
      <c r="K163" s="11" t="e">
        <f t="shared" si="24"/>
        <v>#N/A</v>
      </c>
      <c r="L163" s="14" t="e">
        <f t="shared" si="21"/>
        <v>#N/A</v>
      </c>
      <c r="M163" s="17" t="str">
        <f t="shared" si="22"/>
        <v/>
      </c>
      <c r="N163" s="18" t="str">
        <f t="shared" si="23"/>
        <v/>
      </c>
      <c r="O163" s="3"/>
      <c r="P163" s="3"/>
      <c r="T163" s="2" t="s">
        <v>141</v>
      </c>
      <c r="U163" s="19"/>
      <c r="V163" s="3" t="str">
        <f t="shared" si="25"/>
        <v/>
      </c>
      <c r="W163" s="34" t="str">
        <f t="shared" si="26"/>
        <v>0</v>
      </c>
    </row>
    <row r="164" spans="1:23" x14ac:dyDescent="0.35">
      <c r="A164" s="1">
        <v>162</v>
      </c>
      <c r="B164" s="15"/>
      <c r="C164" s="16"/>
      <c r="D164" s="16"/>
      <c r="E164" s="16"/>
      <c r="F164" s="3"/>
      <c r="G164" s="3"/>
      <c r="H164" s="3" t="e">
        <f t="shared" si="18"/>
        <v>#N/A</v>
      </c>
      <c r="I164" s="3" t="str">
        <f t="shared" si="19"/>
        <v>00</v>
      </c>
      <c r="J164" s="3" t="str">
        <f t="shared" si="20"/>
        <v>00</v>
      </c>
      <c r="K164" s="11" t="e">
        <f t="shared" si="24"/>
        <v>#N/A</v>
      </c>
      <c r="L164" s="14" t="e">
        <f t="shared" si="21"/>
        <v>#N/A</v>
      </c>
      <c r="M164" s="17" t="str">
        <f t="shared" si="22"/>
        <v/>
      </c>
      <c r="N164" s="18" t="str">
        <f t="shared" si="23"/>
        <v/>
      </c>
      <c r="O164" s="3"/>
      <c r="P164" s="3"/>
      <c r="T164" s="2" t="s">
        <v>141</v>
      </c>
      <c r="U164" s="19"/>
      <c r="V164" s="3" t="str">
        <f t="shared" si="25"/>
        <v/>
      </c>
      <c r="W164" s="34" t="str">
        <f t="shared" si="26"/>
        <v>0</v>
      </c>
    </row>
    <row r="165" spans="1:23" x14ac:dyDescent="0.35">
      <c r="A165" s="1">
        <v>163</v>
      </c>
      <c r="B165" s="15"/>
      <c r="C165" s="16"/>
      <c r="D165" s="16"/>
      <c r="E165" s="16"/>
      <c r="F165" s="3"/>
      <c r="G165" s="3"/>
      <c r="H165" s="3" t="e">
        <f t="shared" si="18"/>
        <v>#N/A</v>
      </c>
      <c r="I165" s="3" t="str">
        <f t="shared" si="19"/>
        <v>00</v>
      </c>
      <c r="J165" s="3" t="str">
        <f t="shared" si="20"/>
        <v>00</v>
      </c>
      <c r="K165" s="11" t="e">
        <f t="shared" si="24"/>
        <v>#N/A</v>
      </c>
      <c r="L165" s="14" t="e">
        <f t="shared" si="21"/>
        <v>#N/A</v>
      </c>
      <c r="M165" s="17" t="str">
        <f t="shared" si="22"/>
        <v/>
      </c>
      <c r="N165" s="18" t="str">
        <f t="shared" si="23"/>
        <v/>
      </c>
      <c r="O165" s="3"/>
      <c r="P165" s="3"/>
      <c r="T165" s="2" t="s">
        <v>141</v>
      </c>
      <c r="U165" s="19"/>
      <c r="V165" s="3" t="str">
        <f t="shared" si="25"/>
        <v/>
      </c>
      <c r="W165" s="34" t="str">
        <f t="shared" si="26"/>
        <v>0</v>
      </c>
    </row>
    <row r="166" spans="1:23" x14ac:dyDescent="0.35">
      <c r="A166" s="1">
        <v>164</v>
      </c>
      <c r="B166" s="15"/>
      <c r="C166" s="16"/>
      <c r="D166" s="16"/>
      <c r="E166" s="16"/>
      <c r="F166" s="3"/>
      <c r="G166" s="3"/>
      <c r="H166" s="3" t="e">
        <f t="shared" si="18"/>
        <v>#N/A</v>
      </c>
      <c r="I166" s="3" t="str">
        <f t="shared" si="19"/>
        <v>00</v>
      </c>
      <c r="J166" s="3" t="str">
        <f t="shared" si="20"/>
        <v>00</v>
      </c>
      <c r="K166" s="11" t="e">
        <f t="shared" si="24"/>
        <v>#N/A</v>
      </c>
      <c r="L166" s="14" t="e">
        <f t="shared" si="21"/>
        <v>#N/A</v>
      </c>
      <c r="M166" s="17" t="str">
        <f t="shared" si="22"/>
        <v/>
      </c>
      <c r="N166" s="18" t="str">
        <f t="shared" si="23"/>
        <v/>
      </c>
      <c r="O166" s="3"/>
      <c r="P166" s="3"/>
      <c r="T166" s="2" t="s">
        <v>141</v>
      </c>
      <c r="U166" s="19"/>
      <c r="V166" s="3" t="str">
        <f t="shared" si="25"/>
        <v/>
      </c>
      <c r="W166" s="34" t="str">
        <f t="shared" si="26"/>
        <v>0</v>
      </c>
    </row>
    <row r="167" spans="1:23" x14ac:dyDescent="0.35">
      <c r="A167" s="1">
        <v>165</v>
      </c>
      <c r="B167" s="15"/>
      <c r="C167" s="16"/>
      <c r="D167" s="16"/>
      <c r="E167" s="16"/>
      <c r="F167" s="3"/>
      <c r="G167" s="3"/>
      <c r="H167" s="3" t="e">
        <f t="shared" si="18"/>
        <v>#N/A</v>
      </c>
      <c r="I167" s="3" t="str">
        <f t="shared" si="19"/>
        <v>00</v>
      </c>
      <c r="J167" s="3" t="str">
        <f t="shared" si="20"/>
        <v>00</v>
      </c>
      <c r="K167" s="11" t="e">
        <f t="shared" si="24"/>
        <v>#N/A</v>
      </c>
      <c r="L167" s="14" t="e">
        <f t="shared" si="21"/>
        <v>#N/A</v>
      </c>
      <c r="M167" s="17" t="str">
        <f t="shared" si="22"/>
        <v/>
      </c>
      <c r="N167" s="18" t="str">
        <f t="shared" si="23"/>
        <v/>
      </c>
      <c r="O167" s="3"/>
      <c r="P167" s="3"/>
      <c r="T167" s="2" t="s">
        <v>141</v>
      </c>
      <c r="U167" s="19"/>
      <c r="V167" s="3" t="str">
        <f t="shared" si="25"/>
        <v/>
      </c>
      <c r="W167" s="34" t="str">
        <f t="shared" si="26"/>
        <v>0</v>
      </c>
    </row>
    <row r="168" spans="1:23" x14ac:dyDescent="0.35">
      <c r="A168" s="1">
        <v>166</v>
      </c>
      <c r="B168" s="15"/>
      <c r="C168" s="16"/>
      <c r="D168" s="16"/>
      <c r="E168" s="16"/>
      <c r="F168" s="3"/>
      <c r="G168" s="3"/>
      <c r="H168" s="3" t="e">
        <f t="shared" si="18"/>
        <v>#N/A</v>
      </c>
      <c r="I168" s="3" t="str">
        <f t="shared" si="19"/>
        <v>00</v>
      </c>
      <c r="J168" s="3" t="str">
        <f t="shared" si="20"/>
        <v>00</v>
      </c>
      <c r="K168" s="11" t="e">
        <f t="shared" si="24"/>
        <v>#N/A</v>
      </c>
      <c r="L168" s="14" t="e">
        <f t="shared" si="21"/>
        <v>#N/A</v>
      </c>
      <c r="M168" s="17" t="str">
        <f t="shared" si="22"/>
        <v/>
      </c>
      <c r="N168" s="18" t="str">
        <f t="shared" si="23"/>
        <v/>
      </c>
      <c r="O168" s="3"/>
      <c r="P168" s="3"/>
      <c r="T168" s="2" t="s">
        <v>141</v>
      </c>
      <c r="U168" s="19"/>
      <c r="V168" s="3" t="str">
        <f t="shared" si="25"/>
        <v/>
      </c>
      <c r="W168" s="34" t="str">
        <f t="shared" si="26"/>
        <v>0</v>
      </c>
    </row>
    <row r="169" spans="1:23" x14ac:dyDescent="0.35">
      <c r="A169" s="1">
        <v>167</v>
      </c>
      <c r="B169" s="15"/>
      <c r="C169" s="16"/>
      <c r="D169" s="16"/>
      <c r="E169" s="16"/>
      <c r="F169" s="3"/>
      <c r="G169" s="3"/>
      <c r="H169" s="3" t="e">
        <f t="shared" si="18"/>
        <v>#N/A</v>
      </c>
      <c r="I169" s="3" t="str">
        <f t="shared" si="19"/>
        <v>00</v>
      </c>
      <c r="J169" s="3" t="str">
        <f t="shared" si="20"/>
        <v>00</v>
      </c>
      <c r="K169" s="11" t="e">
        <f t="shared" si="24"/>
        <v>#N/A</v>
      </c>
      <c r="L169" s="14" t="e">
        <f t="shared" si="21"/>
        <v>#N/A</v>
      </c>
      <c r="M169" s="17" t="str">
        <f t="shared" si="22"/>
        <v/>
      </c>
      <c r="N169" s="18" t="str">
        <f t="shared" si="23"/>
        <v/>
      </c>
      <c r="O169" s="3"/>
      <c r="P169" s="3"/>
      <c r="T169" s="2" t="s">
        <v>141</v>
      </c>
      <c r="U169" s="19"/>
      <c r="V169" s="3" t="str">
        <f t="shared" si="25"/>
        <v/>
      </c>
      <c r="W169" s="34" t="str">
        <f t="shared" si="26"/>
        <v>0</v>
      </c>
    </row>
    <row r="170" spans="1:23" x14ac:dyDescent="0.35">
      <c r="A170" s="1">
        <v>168</v>
      </c>
      <c r="B170" s="15"/>
      <c r="C170" s="16"/>
      <c r="D170" s="16"/>
      <c r="E170" s="16"/>
      <c r="F170" s="3"/>
      <c r="G170" s="3"/>
      <c r="H170" s="3" t="e">
        <f t="shared" si="18"/>
        <v>#N/A</v>
      </c>
      <c r="I170" s="3" t="str">
        <f t="shared" si="19"/>
        <v>00</v>
      </c>
      <c r="J170" s="3" t="str">
        <f t="shared" si="20"/>
        <v>00</v>
      </c>
      <c r="K170" s="11" t="e">
        <f t="shared" si="24"/>
        <v>#N/A</v>
      </c>
      <c r="L170" s="14" t="e">
        <f t="shared" si="21"/>
        <v>#N/A</v>
      </c>
      <c r="M170" s="17" t="str">
        <f t="shared" si="22"/>
        <v/>
      </c>
      <c r="N170" s="18" t="str">
        <f t="shared" si="23"/>
        <v/>
      </c>
      <c r="O170" s="3"/>
      <c r="P170" s="3"/>
      <c r="T170" s="2" t="s">
        <v>141</v>
      </c>
      <c r="U170" s="19"/>
      <c r="V170" s="3" t="str">
        <f t="shared" si="25"/>
        <v/>
      </c>
      <c r="W170" s="34" t="str">
        <f t="shared" si="26"/>
        <v>0</v>
      </c>
    </row>
    <row r="171" spans="1:23" x14ac:dyDescent="0.35">
      <c r="A171" s="1">
        <v>169</v>
      </c>
      <c r="B171" s="15"/>
      <c r="C171" s="16"/>
      <c r="D171" s="16"/>
      <c r="E171" s="16"/>
      <c r="F171" s="3"/>
      <c r="G171" s="3"/>
      <c r="H171" s="3" t="e">
        <f t="shared" si="18"/>
        <v>#N/A</v>
      </c>
      <c r="I171" s="3" t="str">
        <f t="shared" si="19"/>
        <v>00</v>
      </c>
      <c r="J171" s="3" t="str">
        <f t="shared" si="20"/>
        <v>00</v>
      </c>
      <c r="K171" s="11" t="e">
        <f t="shared" si="24"/>
        <v>#N/A</v>
      </c>
      <c r="L171" s="14" t="e">
        <f t="shared" si="21"/>
        <v>#N/A</v>
      </c>
      <c r="M171" s="17" t="str">
        <f t="shared" si="22"/>
        <v/>
      </c>
      <c r="N171" s="18" t="str">
        <f t="shared" si="23"/>
        <v/>
      </c>
      <c r="O171" s="3"/>
      <c r="P171" s="3"/>
      <c r="T171" s="2" t="s">
        <v>141</v>
      </c>
      <c r="U171" s="19"/>
      <c r="V171" s="3" t="str">
        <f t="shared" si="25"/>
        <v/>
      </c>
      <c r="W171" s="34" t="str">
        <f t="shared" si="26"/>
        <v>0</v>
      </c>
    </row>
    <row r="172" spans="1:23" x14ac:dyDescent="0.35">
      <c r="A172" s="1">
        <v>170</v>
      </c>
      <c r="B172" s="15"/>
      <c r="C172" s="16"/>
      <c r="D172" s="16"/>
      <c r="E172" s="16"/>
      <c r="F172" s="3"/>
      <c r="G172" s="3"/>
      <c r="H172" s="3" t="e">
        <f t="shared" si="18"/>
        <v>#N/A</v>
      </c>
      <c r="I172" s="3" t="str">
        <f t="shared" si="19"/>
        <v>00</v>
      </c>
      <c r="J172" s="3" t="str">
        <f t="shared" si="20"/>
        <v>00</v>
      </c>
      <c r="K172" s="11" t="e">
        <f t="shared" si="24"/>
        <v>#N/A</v>
      </c>
      <c r="L172" s="14" t="e">
        <f t="shared" si="21"/>
        <v>#N/A</v>
      </c>
      <c r="M172" s="17" t="str">
        <f t="shared" si="22"/>
        <v/>
      </c>
      <c r="N172" s="18" t="str">
        <f t="shared" si="23"/>
        <v/>
      </c>
      <c r="O172" s="3"/>
      <c r="P172" s="3"/>
      <c r="T172" s="2" t="s">
        <v>141</v>
      </c>
      <c r="U172" s="19"/>
      <c r="V172" s="3" t="str">
        <f t="shared" si="25"/>
        <v/>
      </c>
      <c r="W172" s="34" t="str">
        <f t="shared" si="26"/>
        <v>0</v>
      </c>
    </row>
    <row r="173" spans="1:23" x14ac:dyDescent="0.35">
      <c r="A173" s="1">
        <v>171</v>
      </c>
      <c r="B173" s="15"/>
      <c r="C173" s="16"/>
      <c r="D173" s="16"/>
      <c r="E173" s="16"/>
      <c r="F173" s="3"/>
      <c r="G173" s="3"/>
      <c r="H173" s="3" t="e">
        <f t="shared" si="18"/>
        <v>#N/A</v>
      </c>
      <c r="I173" s="3" t="str">
        <f t="shared" si="19"/>
        <v>00</v>
      </c>
      <c r="J173" s="3" t="str">
        <f t="shared" si="20"/>
        <v>00</v>
      </c>
      <c r="K173" s="11" t="e">
        <f t="shared" si="24"/>
        <v>#N/A</v>
      </c>
      <c r="L173" s="14" t="e">
        <f t="shared" si="21"/>
        <v>#N/A</v>
      </c>
      <c r="M173" s="17" t="str">
        <f t="shared" si="22"/>
        <v/>
      </c>
      <c r="N173" s="18" t="str">
        <f t="shared" si="23"/>
        <v/>
      </c>
      <c r="O173" s="3"/>
      <c r="P173" s="3"/>
      <c r="T173" s="2" t="s">
        <v>141</v>
      </c>
      <c r="U173" s="19"/>
      <c r="V173" s="3" t="str">
        <f t="shared" si="25"/>
        <v/>
      </c>
      <c r="W173" s="34" t="str">
        <f t="shared" si="26"/>
        <v>0</v>
      </c>
    </row>
    <row r="174" spans="1:23" x14ac:dyDescent="0.35">
      <c r="A174" s="1">
        <v>172</v>
      </c>
      <c r="B174" s="15"/>
      <c r="C174" s="16"/>
      <c r="D174" s="16"/>
      <c r="E174" s="16"/>
      <c r="F174" s="3"/>
      <c r="G174" s="3"/>
      <c r="H174" s="3" t="e">
        <f t="shared" si="18"/>
        <v>#N/A</v>
      </c>
      <c r="I174" s="3" t="str">
        <f t="shared" si="19"/>
        <v>00</v>
      </c>
      <c r="J174" s="3" t="str">
        <f t="shared" si="20"/>
        <v>00</v>
      </c>
      <c r="K174" s="11" t="e">
        <f t="shared" si="24"/>
        <v>#N/A</v>
      </c>
      <c r="L174" s="14" t="e">
        <f t="shared" si="21"/>
        <v>#N/A</v>
      </c>
      <c r="M174" s="17" t="str">
        <f t="shared" si="22"/>
        <v/>
      </c>
      <c r="N174" s="18" t="str">
        <f t="shared" si="23"/>
        <v/>
      </c>
      <c r="O174" s="3"/>
      <c r="P174" s="3"/>
      <c r="T174" s="2" t="s">
        <v>141</v>
      </c>
      <c r="U174" s="19"/>
      <c r="V174" s="3" t="str">
        <f t="shared" si="25"/>
        <v/>
      </c>
      <c r="W174" s="34" t="str">
        <f t="shared" si="26"/>
        <v>0</v>
      </c>
    </row>
    <row r="175" spans="1:23" x14ac:dyDescent="0.35">
      <c r="A175" s="1">
        <v>173</v>
      </c>
      <c r="B175" s="15"/>
      <c r="C175" s="16"/>
      <c r="D175" s="16"/>
      <c r="E175" s="16"/>
      <c r="F175" s="3"/>
      <c r="G175" s="3"/>
      <c r="H175" s="3" t="e">
        <f t="shared" si="18"/>
        <v>#N/A</v>
      </c>
      <c r="I175" s="3" t="str">
        <f t="shared" si="19"/>
        <v>00</v>
      </c>
      <c r="J175" s="3" t="str">
        <f t="shared" si="20"/>
        <v>00</v>
      </c>
      <c r="K175" s="11" t="e">
        <f t="shared" si="24"/>
        <v>#N/A</v>
      </c>
      <c r="L175" s="14" t="e">
        <f t="shared" si="21"/>
        <v>#N/A</v>
      </c>
      <c r="M175" s="17" t="str">
        <f t="shared" si="22"/>
        <v/>
      </c>
      <c r="N175" s="18" t="str">
        <f t="shared" si="23"/>
        <v/>
      </c>
      <c r="O175" s="3"/>
      <c r="P175" s="3"/>
      <c r="T175" s="2" t="s">
        <v>141</v>
      </c>
      <c r="U175" s="19"/>
      <c r="V175" s="3" t="str">
        <f t="shared" si="25"/>
        <v/>
      </c>
      <c r="W175" s="34" t="str">
        <f t="shared" si="26"/>
        <v>0</v>
      </c>
    </row>
    <row r="176" spans="1:23" x14ac:dyDescent="0.35">
      <c r="A176" s="1">
        <v>174</v>
      </c>
      <c r="B176" s="15"/>
      <c r="C176" s="16"/>
      <c r="D176" s="16"/>
      <c r="E176" s="16"/>
      <c r="F176" s="3"/>
      <c r="G176" s="3"/>
      <c r="H176" s="3" t="e">
        <f t="shared" si="18"/>
        <v>#N/A</v>
      </c>
      <c r="I176" s="3" t="str">
        <f t="shared" si="19"/>
        <v>00</v>
      </c>
      <c r="J176" s="3" t="str">
        <f t="shared" si="20"/>
        <v>00</v>
      </c>
      <c r="K176" s="11" t="e">
        <f t="shared" si="24"/>
        <v>#N/A</v>
      </c>
      <c r="L176" s="14" t="e">
        <f t="shared" si="21"/>
        <v>#N/A</v>
      </c>
      <c r="M176" s="17" t="str">
        <f t="shared" si="22"/>
        <v/>
      </c>
      <c r="N176" s="18" t="str">
        <f t="shared" si="23"/>
        <v/>
      </c>
      <c r="O176" s="3"/>
      <c r="P176" s="3"/>
      <c r="T176" s="2" t="s">
        <v>141</v>
      </c>
      <c r="U176" s="19"/>
      <c r="V176" s="3" t="str">
        <f t="shared" si="25"/>
        <v/>
      </c>
      <c r="W176" s="34" t="str">
        <f t="shared" si="26"/>
        <v>0</v>
      </c>
    </row>
    <row r="177" spans="1:23" x14ac:dyDescent="0.35">
      <c r="A177" s="1">
        <v>175</v>
      </c>
      <c r="B177" s="15"/>
      <c r="C177" s="16"/>
      <c r="D177" s="16"/>
      <c r="E177" s="16"/>
      <c r="F177" s="3"/>
      <c r="G177" s="3"/>
      <c r="H177" s="3" t="e">
        <f t="shared" si="18"/>
        <v>#N/A</v>
      </c>
      <c r="I177" s="3" t="str">
        <f t="shared" si="19"/>
        <v>00</v>
      </c>
      <c r="J177" s="3" t="str">
        <f t="shared" si="20"/>
        <v>00</v>
      </c>
      <c r="K177" s="11" t="e">
        <f t="shared" si="24"/>
        <v>#N/A</v>
      </c>
      <c r="L177" s="14" t="e">
        <f t="shared" si="21"/>
        <v>#N/A</v>
      </c>
      <c r="M177" s="17" t="str">
        <f t="shared" si="22"/>
        <v/>
      </c>
      <c r="N177" s="18" t="str">
        <f t="shared" si="23"/>
        <v/>
      </c>
      <c r="O177" s="3"/>
      <c r="P177" s="3"/>
      <c r="T177" s="2" t="s">
        <v>141</v>
      </c>
      <c r="U177" s="19"/>
      <c r="V177" s="3" t="str">
        <f t="shared" si="25"/>
        <v/>
      </c>
      <c r="W177" s="34" t="str">
        <f t="shared" si="26"/>
        <v>0</v>
      </c>
    </row>
    <row r="178" spans="1:23" x14ac:dyDescent="0.35">
      <c r="A178" s="1">
        <v>176</v>
      </c>
      <c r="B178" s="15"/>
      <c r="C178" s="16"/>
      <c r="D178" s="16"/>
      <c r="E178" s="16"/>
      <c r="F178" s="3"/>
      <c r="G178" s="3"/>
      <c r="H178" s="3" t="e">
        <f t="shared" si="18"/>
        <v>#N/A</v>
      </c>
      <c r="I178" s="3" t="str">
        <f t="shared" si="19"/>
        <v>00</v>
      </c>
      <c r="J178" s="3" t="str">
        <f t="shared" si="20"/>
        <v>00</v>
      </c>
      <c r="K178" s="11" t="e">
        <f t="shared" si="24"/>
        <v>#N/A</v>
      </c>
      <c r="L178" s="14" t="e">
        <f t="shared" si="21"/>
        <v>#N/A</v>
      </c>
      <c r="M178" s="17" t="str">
        <f t="shared" si="22"/>
        <v/>
      </c>
      <c r="N178" s="18" t="str">
        <f t="shared" si="23"/>
        <v/>
      </c>
      <c r="O178" s="3"/>
      <c r="P178" s="3"/>
      <c r="T178" s="2" t="s">
        <v>141</v>
      </c>
      <c r="U178" s="19"/>
      <c r="V178" s="3" t="str">
        <f t="shared" si="25"/>
        <v/>
      </c>
      <c r="W178" s="34" t="str">
        <f t="shared" si="26"/>
        <v>0</v>
      </c>
    </row>
    <row r="179" spans="1:23" x14ac:dyDescent="0.35">
      <c r="A179" s="1">
        <v>177</v>
      </c>
      <c r="B179" s="15"/>
      <c r="C179" s="16"/>
      <c r="D179" s="16"/>
      <c r="E179" s="16"/>
      <c r="F179" s="3"/>
      <c r="G179" s="3"/>
      <c r="H179" s="3" t="e">
        <f t="shared" si="18"/>
        <v>#N/A</v>
      </c>
      <c r="I179" s="3" t="str">
        <f t="shared" si="19"/>
        <v>00</v>
      </c>
      <c r="J179" s="3" t="str">
        <f t="shared" si="20"/>
        <v>00</v>
      </c>
      <c r="K179" s="11" t="e">
        <f t="shared" si="24"/>
        <v>#N/A</v>
      </c>
      <c r="L179" s="14" t="e">
        <f t="shared" si="21"/>
        <v>#N/A</v>
      </c>
      <c r="M179" s="17" t="str">
        <f t="shared" si="22"/>
        <v/>
      </c>
      <c r="N179" s="18" t="str">
        <f t="shared" si="23"/>
        <v/>
      </c>
      <c r="O179" s="3"/>
      <c r="P179" s="3"/>
      <c r="T179" s="2" t="s">
        <v>141</v>
      </c>
      <c r="U179" s="19"/>
      <c r="V179" s="3" t="str">
        <f t="shared" si="25"/>
        <v/>
      </c>
      <c r="W179" s="34" t="str">
        <f t="shared" si="26"/>
        <v>0</v>
      </c>
    </row>
    <row r="180" spans="1:23" x14ac:dyDescent="0.35">
      <c r="A180" s="1">
        <v>178</v>
      </c>
      <c r="B180" s="15"/>
      <c r="C180" s="16"/>
      <c r="D180" s="16"/>
      <c r="E180" s="16"/>
      <c r="F180" s="3"/>
      <c r="G180" s="3"/>
      <c r="H180" s="3" t="e">
        <f t="shared" si="18"/>
        <v>#N/A</v>
      </c>
      <c r="I180" s="3" t="str">
        <f t="shared" si="19"/>
        <v>00</v>
      </c>
      <c r="J180" s="3" t="str">
        <f t="shared" si="20"/>
        <v>00</v>
      </c>
      <c r="K180" s="11" t="e">
        <f t="shared" si="24"/>
        <v>#N/A</v>
      </c>
      <c r="L180" s="14" t="e">
        <f t="shared" si="21"/>
        <v>#N/A</v>
      </c>
      <c r="M180" s="17" t="str">
        <f t="shared" si="22"/>
        <v/>
      </c>
      <c r="N180" s="18" t="str">
        <f t="shared" si="23"/>
        <v/>
      </c>
      <c r="O180" s="3"/>
      <c r="P180" s="3"/>
      <c r="T180" s="2" t="s">
        <v>141</v>
      </c>
      <c r="U180" s="19"/>
      <c r="V180" s="3" t="str">
        <f t="shared" si="25"/>
        <v/>
      </c>
      <c r="W180" s="34" t="str">
        <f t="shared" si="26"/>
        <v>0</v>
      </c>
    </row>
    <row r="181" spans="1:23" x14ac:dyDescent="0.35">
      <c r="A181" s="1">
        <v>179</v>
      </c>
      <c r="B181" s="15"/>
      <c r="C181" s="16"/>
      <c r="D181" s="16"/>
      <c r="E181" s="16"/>
      <c r="F181" s="3"/>
      <c r="G181" s="3"/>
      <c r="H181" s="3" t="e">
        <f t="shared" si="18"/>
        <v>#N/A</v>
      </c>
      <c r="I181" s="3" t="str">
        <f t="shared" si="19"/>
        <v>00</v>
      </c>
      <c r="J181" s="3" t="str">
        <f t="shared" si="20"/>
        <v>00</v>
      </c>
      <c r="K181" s="11" t="e">
        <f t="shared" si="24"/>
        <v>#N/A</v>
      </c>
      <c r="L181" s="14" t="e">
        <f t="shared" si="21"/>
        <v>#N/A</v>
      </c>
      <c r="M181" s="17" t="str">
        <f t="shared" si="22"/>
        <v/>
      </c>
      <c r="N181" s="18" t="str">
        <f t="shared" si="23"/>
        <v/>
      </c>
      <c r="O181" s="3"/>
      <c r="P181" s="3"/>
      <c r="T181" s="2" t="s">
        <v>141</v>
      </c>
      <c r="U181" s="19"/>
      <c r="V181" s="3" t="str">
        <f t="shared" si="25"/>
        <v/>
      </c>
      <c r="W181" s="34" t="str">
        <f t="shared" si="26"/>
        <v>0</v>
      </c>
    </row>
    <row r="182" spans="1:23" x14ac:dyDescent="0.35">
      <c r="A182" s="1">
        <v>180</v>
      </c>
      <c r="B182" s="15"/>
      <c r="C182" s="16"/>
      <c r="D182" s="16"/>
      <c r="E182" s="16"/>
      <c r="F182" s="3"/>
      <c r="G182" s="3"/>
      <c r="H182" s="3" t="e">
        <f t="shared" si="18"/>
        <v>#N/A</v>
      </c>
      <c r="I182" s="3" t="str">
        <f t="shared" si="19"/>
        <v>00</v>
      </c>
      <c r="J182" s="3" t="str">
        <f t="shared" si="20"/>
        <v>00</v>
      </c>
      <c r="K182" s="11" t="e">
        <f t="shared" si="24"/>
        <v>#N/A</v>
      </c>
      <c r="L182" s="14" t="e">
        <f t="shared" si="21"/>
        <v>#N/A</v>
      </c>
      <c r="M182" s="17" t="str">
        <f t="shared" si="22"/>
        <v/>
      </c>
      <c r="N182" s="18" t="str">
        <f t="shared" si="23"/>
        <v/>
      </c>
      <c r="O182" s="3"/>
      <c r="P182" s="3"/>
      <c r="T182" s="2" t="s">
        <v>141</v>
      </c>
      <c r="U182" s="19"/>
      <c r="V182" s="3" t="str">
        <f t="shared" si="25"/>
        <v/>
      </c>
      <c r="W182" s="34" t="str">
        <f t="shared" si="26"/>
        <v>0</v>
      </c>
    </row>
    <row r="183" spans="1:23" x14ac:dyDescent="0.35">
      <c r="A183" s="1">
        <v>181</v>
      </c>
      <c r="B183" s="15"/>
      <c r="C183" s="16"/>
      <c r="D183" s="16"/>
      <c r="E183" s="16"/>
      <c r="F183" s="3"/>
      <c r="G183" s="3"/>
      <c r="H183" s="3" t="e">
        <f t="shared" si="18"/>
        <v>#N/A</v>
      </c>
      <c r="I183" s="3" t="str">
        <f t="shared" si="19"/>
        <v>00</v>
      </c>
      <c r="J183" s="3" t="str">
        <f t="shared" si="20"/>
        <v>00</v>
      </c>
      <c r="K183" s="11" t="e">
        <f t="shared" si="24"/>
        <v>#N/A</v>
      </c>
      <c r="L183" s="14" t="e">
        <f t="shared" si="21"/>
        <v>#N/A</v>
      </c>
      <c r="M183" s="17" t="str">
        <f t="shared" si="22"/>
        <v/>
      </c>
      <c r="N183" s="18" t="str">
        <f t="shared" si="23"/>
        <v/>
      </c>
      <c r="O183" s="3"/>
      <c r="P183" s="3"/>
      <c r="T183" s="2" t="s">
        <v>141</v>
      </c>
      <c r="U183" s="19"/>
      <c r="V183" s="3" t="str">
        <f t="shared" si="25"/>
        <v/>
      </c>
      <c r="W183" s="34" t="str">
        <f t="shared" si="26"/>
        <v>0</v>
      </c>
    </row>
    <row r="184" spans="1:23" x14ac:dyDescent="0.35">
      <c r="A184" s="1">
        <v>182</v>
      </c>
      <c r="B184" s="15"/>
      <c r="C184" s="16"/>
      <c r="D184" s="16"/>
      <c r="E184" s="16"/>
      <c r="F184" s="3"/>
      <c r="G184" s="3"/>
      <c r="H184" s="3" t="e">
        <f t="shared" si="18"/>
        <v>#N/A</v>
      </c>
      <c r="I184" s="3" t="str">
        <f t="shared" si="19"/>
        <v>00</v>
      </c>
      <c r="J184" s="3" t="str">
        <f t="shared" si="20"/>
        <v>00</v>
      </c>
      <c r="K184" s="11" t="e">
        <f t="shared" si="24"/>
        <v>#N/A</v>
      </c>
      <c r="L184" s="14" t="e">
        <f t="shared" si="21"/>
        <v>#N/A</v>
      </c>
      <c r="M184" s="17" t="str">
        <f t="shared" si="22"/>
        <v/>
      </c>
      <c r="N184" s="18" t="str">
        <f t="shared" si="23"/>
        <v/>
      </c>
      <c r="O184" s="3"/>
      <c r="P184" s="3"/>
      <c r="T184" s="2" t="s">
        <v>141</v>
      </c>
      <c r="U184" s="19"/>
      <c r="V184" s="3" t="str">
        <f t="shared" si="25"/>
        <v/>
      </c>
      <c r="W184" s="34" t="str">
        <f t="shared" si="26"/>
        <v>0</v>
      </c>
    </row>
    <row r="185" spans="1:23" x14ac:dyDescent="0.35">
      <c r="A185" s="1">
        <v>183</v>
      </c>
      <c r="B185" s="15"/>
      <c r="C185" s="16"/>
      <c r="D185" s="16"/>
      <c r="E185" s="16"/>
      <c r="F185" s="3"/>
      <c r="G185" s="3"/>
      <c r="H185" s="3" t="e">
        <f t="shared" si="18"/>
        <v>#N/A</v>
      </c>
      <c r="I185" s="3" t="str">
        <f t="shared" si="19"/>
        <v>00</v>
      </c>
      <c r="J185" s="3" t="str">
        <f t="shared" si="20"/>
        <v>00</v>
      </c>
      <c r="K185" s="11" t="e">
        <f t="shared" si="24"/>
        <v>#N/A</v>
      </c>
      <c r="L185" s="14" t="e">
        <f t="shared" si="21"/>
        <v>#N/A</v>
      </c>
      <c r="M185" s="17" t="str">
        <f t="shared" si="22"/>
        <v/>
      </c>
      <c r="N185" s="18" t="str">
        <f t="shared" si="23"/>
        <v/>
      </c>
      <c r="O185" s="3"/>
      <c r="P185" s="3"/>
      <c r="T185" s="2" t="s">
        <v>141</v>
      </c>
      <c r="U185" s="19"/>
      <c r="V185" s="3" t="str">
        <f t="shared" si="25"/>
        <v/>
      </c>
      <c r="W185" s="34" t="str">
        <f t="shared" si="26"/>
        <v>0</v>
      </c>
    </row>
    <row r="186" spans="1:23" x14ac:dyDescent="0.35">
      <c r="A186" s="1">
        <v>184</v>
      </c>
      <c r="B186" s="15"/>
      <c r="C186" s="16"/>
      <c r="D186" s="16"/>
      <c r="E186" s="16"/>
      <c r="F186" s="3"/>
      <c r="G186" s="3"/>
      <c r="H186" s="3" t="e">
        <f t="shared" si="18"/>
        <v>#N/A</v>
      </c>
      <c r="I186" s="3" t="str">
        <f t="shared" si="19"/>
        <v>00</v>
      </c>
      <c r="J186" s="3" t="str">
        <f t="shared" si="20"/>
        <v>00</v>
      </c>
      <c r="K186" s="11" t="e">
        <f t="shared" si="24"/>
        <v>#N/A</v>
      </c>
      <c r="L186" s="14" t="e">
        <f t="shared" si="21"/>
        <v>#N/A</v>
      </c>
      <c r="M186" s="17" t="str">
        <f t="shared" si="22"/>
        <v/>
      </c>
      <c r="N186" s="18" t="str">
        <f t="shared" si="23"/>
        <v/>
      </c>
      <c r="O186" s="3"/>
      <c r="P186" s="3"/>
      <c r="T186" s="2" t="s">
        <v>141</v>
      </c>
      <c r="U186" s="19"/>
      <c r="V186" s="3" t="str">
        <f t="shared" si="25"/>
        <v/>
      </c>
      <c r="W186" s="34" t="str">
        <f t="shared" si="26"/>
        <v>0</v>
      </c>
    </row>
    <row r="187" spans="1:23" x14ac:dyDescent="0.35">
      <c r="A187" s="1">
        <v>185</v>
      </c>
      <c r="B187" s="15"/>
      <c r="C187" s="16"/>
      <c r="D187" s="16"/>
      <c r="E187" s="16"/>
      <c r="F187" s="3"/>
      <c r="G187" s="3"/>
      <c r="H187" s="3" t="e">
        <f t="shared" si="18"/>
        <v>#N/A</v>
      </c>
      <c r="I187" s="3" t="str">
        <f t="shared" si="19"/>
        <v>00</v>
      </c>
      <c r="J187" s="3" t="str">
        <f t="shared" si="20"/>
        <v>00</v>
      </c>
      <c r="K187" s="11" t="e">
        <f t="shared" si="24"/>
        <v>#N/A</v>
      </c>
      <c r="L187" s="14" t="e">
        <f t="shared" si="21"/>
        <v>#N/A</v>
      </c>
      <c r="M187" s="17" t="str">
        <f t="shared" si="22"/>
        <v/>
      </c>
      <c r="N187" s="18" t="str">
        <f t="shared" si="23"/>
        <v/>
      </c>
      <c r="O187" s="3"/>
      <c r="P187" s="3"/>
      <c r="T187" s="2" t="s">
        <v>141</v>
      </c>
      <c r="U187" s="19"/>
      <c r="V187" s="3" t="str">
        <f t="shared" si="25"/>
        <v/>
      </c>
      <c r="W187" s="34" t="str">
        <f t="shared" si="26"/>
        <v>0</v>
      </c>
    </row>
    <row r="188" spans="1:23" x14ac:dyDescent="0.35">
      <c r="A188" s="1">
        <v>186</v>
      </c>
      <c r="B188" s="15"/>
      <c r="C188" s="16"/>
      <c r="D188" s="16"/>
      <c r="E188" s="16"/>
      <c r="F188" s="3"/>
      <c r="G188" s="3"/>
      <c r="H188" s="3" t="e">
        <f t="shared" si="18"/>
        <v>#N/A</v>
      </c>
      <c r="I188" s="3" t="str">
        <f t="shared" si="19"/>
        <v>00</v>
      </c>
      <c r="J188" s="3" t="str">
        <f t="shared" si="20"/>
        <v>00</v>
      </c>
      <c r="K188" s="11" t="e">
        <f t="shared" si="24"/>
        <v>#N/A</v>
      </c>
      <c r="L188" s="14" t="e">
        <f t="shared" si="21"/>
        <v>#N/A</v>
      </c>
      <c r="M188" s="17" t="str">
        <f t="shared" si="22"/>
        <v/>
      </c>
      <c r="N188" s="18" t="str">
        <f t="shared" si="23"/>
        <v/>
      </c>
      <c r="O188" s="3"/>
      <c r="P188" s="3"/>
      <c r="T188" s="2" t="s">
        <v>141</v>
      </c>
      <c r="U188" s="19"/>
      <c r="V188" s="3" t="str">
        <f t="shared" si="25"/>
        <v/>
      </c>
      <c r="W188" s="34" t="str">
        <f t="shared" si="26"/>
        <v>0</v>
      </c>
    </row>
    <row r="189" spans="1:23" x14ac:dyDescent="0.35">
      <c r="A189" s="1">
        <v>187</v>
      </c>
      <c r="B189" s="15"/>
      <c r="C189" s="16"/>
      <c r="D189" s="16"/>
      <c r="E189" s="16"/>
      <c r="F189" s="3"/>
      <c r="G189" s="3"/>
      <c r="H189" s="3" t="e">
        <f t="shared" si="18"/>
        <v>#N/A</v>
      </c>
      <c r="I189" s="3" t="str">
        <f t="shared" si="19"/>
        <v>00</v>
      </c>
      <c r="J189" s="3" t="str">
        <f t="shared" si="20"/>
        <v>00</v>
      </c>
      <c r="K189" s="11" t="e">
        <f t="shared" si="24"/>
        <v>#N/A</v>
      </c>
      <c r="L189" s="14" t="e">
        <f t="shared" si="21"/>
        <v>#N/A</v>
      </c>
      <c r="M189" s="17" t="str">
        <f t="shared" si="22"/>
        <v/>
      </c>
      <c r="N189" s="18" t="str">
        <f t="shared" si="23"/>
        <v/>
      </c>
      <c r="O189" s="3"/>
      <c r="P189" s="3"/>
      <c r="T189" s="2" t="s">
        <v>141</v>
      </c>
      <c r="U189" s="19"/>
      <c r="V189" s="3" t="str">
        <f t="shared" si="25"/>
        <v/>
      </c>
      <c r="W189" s="34" t="str">
        <f t="shared" si="26"/>
        <v>0</v>
      </c>
    </row>
    <row r="190" spans="1:23" x14ac:dyDescent="0.35">
      <c r="A190" s="1">
        <v>188</v>
      </c>
      <c r="B190" s="15"/>
      <c r="C190" s="16"/>
      <c r="D190" s="16"/>
      <c r="E190" s="16"/>
      <c r="F190" s="3"/>
      <c r="G190" s="3"/>
      <c r="H190" s="3" t="e">
        <f t="shared" si="18"/>
        <v>#N/A</v>
      </c>
      <c r="I190" s="3" t="str">
        <f t="shared" si="19"/>
        <v>00</v>
      </c>
      <c r="J190" s="3" t="str">
        <f t="shared" si="20"/>
        <v>00</v>
      </c>
      <c r="K190" s="11" t="e">
        <f t="shared" si="24"/>
        <v>#N/A</v>
      </c>
      <c r="L190" s="14" t="e">
        <f t="shared" si="21"/>
        <v>#N/A</v>
      </c>
      <c r="M190" s="17" t="str">
        <f t="shared" si="22"/>
        <v/>
      </c>
      <c r="N190" s="18" t="str">
        <f t="shared" si="23"/>
        <v/>
      </c>
      <c r="O190" s="3"/>
      <c r="P190" s="3"/>
      <c r="T190" s="2" t="s">
        <v>141</v>
      </c>
      <c r="U190" s="19"/>
      <c r="V190" s="3" t="str">
        <f t="shared" si="25"/>
        <v/>
      </c>
      <c r="W190" s="34" t="str">
        <f t="shared" si="26"/>
        <v>0</v>
      </c>
    </row>
    <row r="191" spans="1:23" x14ac:dyDescent="0.35">
      <c r="A191" s="1">
        <v>189</v>
      </c>
      <c r="B191" s="15"/>
      <c r="C191" s="16"/>
      <c r="D191" s="16"/>
      <c r="E191" s="16"/>
      <c r="F191" s="3"/>
      <c r="G191" s="3"/>
      <c r="H191" s="3" t="e">
        <f t="shared" si="18"/>
        <v>#N/A</v>
      </c>
      <c r="I191" s="3" t="str">
        <f t="shared" si="19"/>
        <v>00</v>
      </c>
      <c r="J191" s="3" t="str">
        <f t="shared" si="20"/>
        <v>00</v>
      </c>
      <c r="K191" s="11" t="e">
        <f t="shared" si="24"/>
        <v>#N/A</v>
      </c>
      <c r="L191" s="14" t="e">
        <f t="shared" si="21"/>
        <v>#N/A</v>
      </c>
      <c r="M191" s="17" t="str">
        <f t="shared" si="22"/>
        <v/>
      </c>
      <c r="N191" s="18" t="str">
        <f t="shared" si="23"/>
        <v/>
      </c>
      <c r="O191" s="3"/>
      <c r="P191" s="3"/>
      <c r="T191" s="2" t="s">
        <v>141</v>
      </c>
      <c r="U191" s="19"/>
      <c r="V191" s="3" t="str">
        <f t="shared" si="25"/>
        <v/>
      </c>
      <c r="W191" s="34" t="str">
        <f t="shared" si="26"/>
        <v>0</v>
      </c>
    </row>
    <row r="192" spans="1:23" x14ac:dyDescent="0.35">
      <c r="A192" s="1">
        <v>190</v>
      </c>
      <c r="B192" s="15"/>
      <c r="C192" s="16"/>
      <c r="D192" s="16"/>
      <c r="E192" s="16"/>
      <c r="F192" s="3"/>
      <c r="G192" s="3"/>
      <c r="H192" s="3" t="e">
        <f t="shared" si="18"/>
        <v>#N/A</v>
      </c>
      <c r="I192" s="3" t="str">
        <f t="shared" si="19"/>
        <v>00</v>
      </c>
      <c r="J192" s="3" t="str">
        <f t="shared" si="20"/>
        <v>00</v>
      </c>
      <c r="K192" s="11" t="e">
        <f t="shared" si="24"/>
        <v>#N/A</v>
      </c>
      <c r="L192" s="14" t="e">
        <f t="shared" si="21"/>
        <v>#N/A</v>
      </c>
      <c r="M192" s="17" t="str">
        <f t="shared" si="22"/>
        <v/>
      </c>
      <c r="N192" s="18" t="str">
        <f t="shared" si="23"/>
        <v/>
      </c>
      <c r="O192" s="3"/>
      <c r="P192" s="3"/>
      <c r="T192" s="2" t="s">
        <v>141</v>
      </c>
      <c r="U192" s="19"/>
      <c r="V192" s="3" t="str">
        <f t="shared" si="25"/>
        <v/>
      </c>
      <c r="W192" s="34" t="str">
        <f t="shared" si="26"/>
        <v>0</v>
      </c>
    </row>
    <row r="193" spans="1:23" x14ac:dyDescent="0.35">
      <c r="A193" s="1">
        <v>191</v>
      </c>
      <c r="B193" s="15"/>
      <c r="C193" s="16"/>
      <c r="D193" s="16"/>
      <c r="E193" s="16"/>
      <c r="F193" s="3"/>
      <c r="G193" s="3"/>
      <c r="H193" s="3" t="e">
        <f t="shared" si="18"/>
        <v>#N/A</v>
      </c>
      <c r="I193" s="3" t="str">
        <f t="shared" si="19"/>
        <v>00</v>
      </c>
      <c r="J193" s="3" t="str">
        <f t="shared" si="20"/>
        <v>00</v>
      </c>
      <c r="K193" s="11" t="e">
        <f t="shared" si="24"/>
        <v>#N/A</v>
      </c>
      <c r="L193" s="14" t="e">
        <f t="shared" si="21"/>
        <v>#N/A</v>
      </c>
      <c r="M193" s="17" t="str">
        <f t="shared" si="22"/>
        <v/>
      </c>
      <c r="N193" s="18" t="str">
        <f t="shared" si="23"/>
        <v/>
      </c>
      <c r="O193" s="3"/>
      <c r="P193" s="3"/>
      <c r="T193" s="2" t="s">
        <v>141</v>
      </c>
      <c r="U193" s="19"/>
      <c r="V193" s="3" t="str">
        <f t="shared" si="25"/>
        <v/>
      </c>
      <c r="W193" s="34" t="str">
        <f t="shared" si="26"/>
        <v>0</v>
      </c>
    </row>
    <row r="194" spans="1:23" x14ac:dyDescent="0.35">
      <c r="A194" s="1">
        <v>192</v>
      </c>
      <c r="B194" s="15"/>
      <c r="C194" s="16"/>
      <c r="D194" s="16"/>
      <c r="E194" s="16"/>
      <c r="F194" s="3"/>
      <c r="G194" s="3"/>
      <c r="H194" s="3" t="e">
        <f t="shared" si="18"/>
        <v>#N/A</v>
      </c>
      <c r="I194" s="3" t="str">
        <f t="shared" si="19"/>
        <v>00</v>
      </c>
      <c r="J194" s="3" t="str">
        <f t="shared" si="20"/>
        <v>00</v>
      </c>
      <c r="K194" s="11" t="e">
        <f t="shared" si="24"/>
        <v>#N/A</v>
      </c>
      <c r="L194" s="14" t="e">
        <f t="shared" si="21"/>
        <v>#N/A</v>
      </c>
      <c r="M194" s="17" t="str">
        <f t="shared" si="22"/>
        <v/>
      </c>
      <c r="N194" s="18" t="str">
        <f t="shared" si="23"/>
        <v/>
      </c>
      <c r="O194" s="3"/>
      <c r="P194" s="3"/>
      <c r="T194" s="2" t="s">
        <v>141</v>
      </c>
      <c r="U194" s="19"/>
      <c r="V194" s="3" t="str">
        <f t="shared" si="25"/>
        <v/>
      </c>
      <c r="W194" s="34" t="str">
        <f t="shared" si="26"/>
        <v>0</v>
      </c>
    </row>
    <row r="195" spans="1:23" x14ac:dyDescent="0.35">
      <c r="A195" s="1">
        <v>193</v>
      </c>
      <c r="B195" s="15"/>
      <c r="C195" s="16"/>
      <c r="D195" s="16"/>
      <c r="E195" s="16"/>
      <c r="F195" s="3"/>
      <c r="G195" s="3"/>
      <c r="H195" s="3" t="e">
        <f t="shared" ref="H195:H258" si="27">VLOOKUP(B195,$F$2:$G$39,2,FALSE)</f>
        <v>#N/A</v>
      </c>
      <c r="I195" s="3" t="str">
        <f t="shared" ref="I195:I258" si="28">IF(ISERROR(VLOOKUP(C195,F:G,2,FALSE)),"00",(VLOOKUP(C195,F:G,2,FALSE)))</f>
        <v>00</v>
      </c>
      <c r="J195" s="3" t="str">
        <f t="shared" ref="J195:J258" si="29">IF(ISERROR(VLOOKUP(D195,F:G,2,FALSE)),"00",(VLOOKUP(D195,F:G,2,FALSE)))</f>
        <v>00</v>
      </c>
      <c r="K195" s="11" t="e">
        <f t="shared" si="24"/>
        <v>#N/A</v>
      </c>
      <c r="L195" s="14" t="e">
        <f t="shared" ref="L195:L258" si="30">IF(LEN(K195)&gt;8,H195,K195)</f>
        <v>#N/A</v>
      </c>
      <c r="M195" s="17" t="str">
        <f t="shared" ref="M195:M258" si="31">IF(ISERROR(VLOOKUP(L195,L:L,1,FALSE)),"",(VLOOKUP(L195,L:L,1,FALSE)))</f>
        <v/>
      </c>
      <c r="N195" s="18" t="str">
        <f t="shared" ref="N195:N258" si="32">IF(ISERROR(VLOOKUP(E195,E:E,1,FALSE)),"",(VLOOKUP(E195,E:E,1,FALSE)))</f>
        <v/>
      </c>
      <c r="O195" s="3"/>
      <c r="P195" s="3"/>
      <c r="T195" s="2" t="s">
        <v>141</v>
      </c>
      <c r="U195" s="19"/>
      <c r="V195" s="3" t="str">
        <f t="shared" si="25"/>
        <v/>
      </c>
      <c r="W195" s="34" t="str">
        <f t="shared" si="26"/>
        <v>0</v>
      </c>
    </row>
    <row r="196" spans="1:23" x14ac:dyDescent="0.35">
      <c r="A196" s="1">
        <v>194</v>
      </c>
      <c r="B196" s="15"/>
      <c r="C196" s="16"/>
      <c r="D196" s="16"/>
      <c r="E196" s="16"/>
      <c r="F196" s="3"/>
      <c r="G196" s="3"/>
      <c r="H196" s="3" t="e">
        <f t="shared" si="27"/>
        <v>#N/A</v>
      </c>
      <c r="I196" s="3" t="str">
        <f t="shared" si="28"/>
        <v>00</v>
      </c>
      <c r="J196" s="3" t="str">
        <f t="shared" si="29"/>
        <v>00</v>
      </c>
      <c r="K196" s="11" t="e">
        <f t="shared" ref="K196:K258" si="33">CONCATENATE(H196,I196,J196)</f>
        <v>#N/A</v>
      </c>
      <c r="L196" s="14" t="e">
        <f t="shared" si="30"/>
        <v>#N/A</v>
      </c>
      <c r="M196" s="17" t="str">
        <f t="shared" si="31"/>
        <v/>
      </c>
      <c r="N196" s="18" t="str">
        <f t="shared" si="32"/>
        <v/>
      </c>
      <c r="O196" s="3"/>
      <c r="P196" s="3"/>
      <c r="T196" s="2" t="s">
        <v>141</v>
      </c>
      <c r="U196" s="19"/>
      <c r="V196" s="3" t="str">
        <f t="shared" ref="V196:V258" si="34">IF(ISERROR(VLOOKUP(U195,U:U,1,FALSE)),"",(VLOOKUP(U195,U:U,1,FALSE)))</f>
        <v/>
      </c>
      <c r="W196" s="34" t="str">
        <f t="shared" ref="W196:W258" si="35">BIN2HEX(V196)</f>
        <v>0</v>
      </c>
    </row>
    <row r="197" spans="1:23" x14ac:dyDescent="0.35">
      <c r="A197" s="1">
        <v>195</v>
      </c>
      <c r="B197" s="15"/>
      <c r="C197" s="16"/>
      <c r="D197" s="16"/>
      <c r="E197" s="16"/>
      <c r="F197" s="3"/>
      <c r="G197" s="3"/>
      <c r="H197" s="3" t="e">
        <f t="shared" si="27"/>
        <v>#N/A</v>
      </c>
      <c r="I197" s="3" t="str">
        <f t="shared" si="28"/>
        <v>00</v>
      </c>
      <c r="J197" s="3" t="str">
        <f t="shared" si="29"/>
        <v>00</v>
      </c>
      <c r="K197" s="11" t="e">
        <f t="shared" si="33"/>
        <v>#N/A</v>
      </c>
      <c r="L197" s="14" t="e">
        <f t="shared" si="30"/>
        <v>#N/A</v>
      </c>
      <c r="M197" s="17" t="str">
        <f t="shared" si="31"/>
        <v/>
      </c>
      <c r="N197" s="18" t="str">
        <f t="shared" si="32"/>
        <v/>
      </c>
      <c r="O197" s="3"/>
      <c r="P197" s="3"/>
      <c r="T197" s="2" t="s">
        <v>141</v>
      </c>
      <c r="U197" s="19"/>
      <c r="V197" s="3" t="str">
        <f t="shared" si="34"/>
        <v/>
      </c>
      <c r="W197" s="34" t="str">
        <f t="shared" si="35"/>
        <v>0</v>
      </c>
    </row>
    <row r="198" spans="1:23" x14ac:dyDescent="0.35">
      <c r="A198" s="1">
        <v>196</v>
      </c>
      <c r="B198" s="15"/>
      <c r="C198" s="16"/>
      <c r="D198" s="16"/>
      <c r="E198" s="16"/>
      <c r="F198" s="3"/>
      <c r="G198" s="3"/>
      <c r="H198" s="3" t="e">
        <f t="shared" si="27"/>
        <v>#N/A</v>
      </c>
      <c r="I198" s="3" t="str">
        <f t="shared" si="28"/>
        <v>00</v>
      </c>
      <c r="J198" s="3" t="str">
        <f t="shared" si="29"/>
        <v>00</v>
      </c>
      <c r="K198" s="11" t="e">
        <f t="shared" si="33"/>
        <v>#N/A</v>
      </c>
      <c r="L198" s="14" t="e">
        <f t="shared" si="30"/>
        <v>#N/A</v>
      </c>
      <c r="M198" s="17" t="str">
        <f t="shared" si="31"/>
        <v/>
      </c>
      <c r="N198" s="18" t="str">
        <f t="shared" si="32"/>
        <v/>
      </c>
      <c r="O198" s="3"/>
      <c r="P198" s="3"/>
      <c r="T198" s="2" t="s">
        <v>141</v>
      </c>
      <c r="U198" s="19"/>
      <c r="V198" s="3" t="str">
        <f t="shared" si="34"/>
        <v/>
      </c>
      <c r="W198" s="34" t="str">
        <f t="shared" si="35"/>
        <v>0</v>
      </c>
    </row>
    <row r="199" spans="1:23" x14ac:dyDescent="0.35">
      <c r="A199" s="1">
        <v>197</v>
      </c>
      <c r="B199" s="15"/>
      <c r="C199" s="16"/>
      <c r="D199" s="16"/>
      <c r="E199" s="16"/>
      <c r="F199" s="3"/>
      <c r="G199" s="3"/>
      <c r="H199" s="3" t="e">
        <f t="shared" si="27"/>
        <v>#N/A</v>
      </c>
      <c r="I199" s="3" t="str">
        <f t="shared" si="28"/>
        <v>00</v>
      </c>
      <c r="J199" s="3" t="str">
        <f t="shared" si="29"/>
        <v>00</v>
      </c>
      <c r="K199" s="11" t="e">
        <f t="shared" si="33"/>
        <v>#N/A</v>
      </c>
      <c r="L199" s="14" t="e">
        <f t="shared" si="30"/>
        <v>#N/A</v>
      </c>
      <c r="M199" s="17" t="str">
        <f t="shared" si="31"/>
        <v/>
      </c>
      <c r="N199" s="18" t="str">
        <f t="shared" si="32"/>
        <v/>
      </c>
      <c r="O199" s="3"/>
      <c r="P199" s="3"/>
      <c r="T199" s="2" t="s">
        <v>141</v>
      </c>
      <c r="U199" s="19"/>
      <c r="V199" s="3" t="str">
        <f t="shared" si="34"/>
        <v/>
      </c>
      <c r="W199" s="34" t="str">
        <f t="shared" si="35"/>
        <v>0</v>
      </c>
    </row>
    <row r="200" spans="1:23" x14ac:dyDescent="0.35">
      <c r="A200" s="1">
        <v>198</v>
      </c>
      <c r="B200" s="15"/>
      <c r="C200" s="16"/>
      <c r="D200" s="16"/>
      <c r="E200" s="16"/>
      <c r="F200" s="3"/>
      <c r="G200" s="3"/>
      <c r="H200" s="3" t="e">
        <f t="shared" si="27"/>
        <v>#N/A</v>
      </c>
      <c r="I200" s="3" t="str">
        <f t="shared" si="28"/>
        <v>00</v>
      </c>
      <c r="J200" s="3" t="str">
        <f t="shared" si="29"/>
        <v>00</v>
      </c>
      <c r="K200" s="11" t="e">
        <f t="shared" si="33"/>
        <v>#N/A</v>
      </c>
      <c r="L200" s="14" t="e">
        <f t="shared" si="30"/>
        <v>#N/A</v>
      </c>
      <c r="M200" s="17" t="str">
        <f t="shared" si="31"/>
        <v/>
      </c>
      <c r="N200" s="18" t="str">
        <f t="shared" si="32"/>
        <v/>
      </c>
      <c r="O200" s="3"/>
      <c r="P200" s="3"/>
      <c r="T200" s="2" t="s">
        <v>141</v>
      </c>
      <c r="U200" s="19"/>
      <c r="V200" s="3" t="str">
        <f t="shared" si="34"/>
        <v/>
      </c>
      <c r="W200" s="34" t="str">
        <f t="shared" si="35"/>
        <v>0</v>
      </c>
    </row>
    <row r="201" spans="1:23" x14ac:dyDescent="0.35">
      <c r="A201" s="1">
        <v>199</v>
      </c>
      <c r="B201" s="15"/>
      <c r="C201" s="16"/>
      <c r="D201" s="16"/>
      <c r="E201" s="16"/>
      <c r="F201" s="3"/>
      <c r="G201" s="3"/>
      <c r="H201" s="3" t="e">
        <f t="shared" si="27"/>
        <v>#N/A</v>
      </c>
      <c r="I201" s="3" t="str">
        <f t="shared" si="28"/>
        <v>00</v>
      </c>
      <c r="J201" s="3" t="str">
        <f t="shared" si="29"/>
        <v>00</v>
      </c>
      <c r="K201" s="11" t="e">
        <f t="shared" si="33"/>
        <v>#N/A</v>
      </c>
      <c r="L201" s="14" t="e">
        <f t="shared" si="30"/>
        <v>#N/A</v>
      </c>
      <c r="M201" s="17" t="str">
        <f t="shared" si="31"/>
        <v/>
      </c>
      <c r="N201" s="18" t="str">
        <f t="shared" si="32"/>
        <v/>
      </c>
      <c r="O201" s="3"/>
      <c r="P201" s="3"/>
      <c r="T201" s="2" t="s">
        <v>141</v>
      </c>
      <c r="U201" s="19"/>
      <c r="V201" s="3" t="str">
        <f t="shared" si="34"/>
        <v/>
      </c>
      <c r="W201" s="34" t="str">
        <f t="shared" si="35"/>
        <v>0</v>
      </c>
    </row>
    <row r="202" spans="1:23" x14ac:dyDescent="0.35">
      <c r="A202" s="1">
        <v>200</v>
      </c>
      <c r="B202" s="15"/>
      <c r="C202" s="16"/>
      <c r="D202" s="16"/>
      <c r="E202" s="16"/>
      <c r="F202" s="3"/>
      <c r="G202" s="3"/>
      <c r="H202" s="3" t="e">
        <f t="shared" si="27"/>
        <v>#N/A</v>
      </c>
      <c r="I202" s="3" t="str">
        <f t="shared" si="28"/>
        <v>00</v>
      </c>
      <c r="J202" s="3" t="str">
        <f t="shared" si="29"/>
        <v>00</v>
      </c>
      <c r="K202" s="11" t="e">
        <f t="shared" si="33"/>
        <v>#N/A</v>
      </c>
      <c r="L202" s="14" t="e">
        <f t="shared" si="30"/>
        <v>#N/A</v>
      </c>
      <c r="M202" s="17" t="str">
        <f t="shared" si="31"/>
        <v/>
      </c>
      <c r="N202" s="18" t="str">
        <f t="shared" si="32"/>
        <v/>
      </c>
      <c r="O202" s="3"/>
      <c r="P202" s="3"/>
      <c r="T202" s="2" t="s">
        <v>141</v>
      </c>
      <c r="U202" s="19"/>
      <c r="V202" s="3" t="str">
        <f t="shared" si="34"/>
        <v/>
      </c>
      <c r="W202" s="34" t="str">
        <f t="shared" si="35"/>
        <v>0</v>
      </c>
    </row>
    <row r="203" spans="1:23" x14ac:dyDescent="0.35">
      <c r="A203" s="1">
        <v>201</v>
      </c>
      <c r="B203" s="15"/>
      <c r="C203" s="16"/>
      <c r="D203" s="16"/>
      <c r="E203" s="16"/>
      <c r="F203" s="3"/>
      <c r="G203" s="3"/>
      <c r="H203" s="3" t="e">
        <f t="shared" si="27"/>
        <v>#N/A</v>
      </c>
      <c r="I203" s="3" t="str">
        <f t="shared" si="28"/>
        <v>00</v>
      </c>
      <c r="J203" s="3" t="str">
        <f t="shared" si="29"/>
        <v>00</v>
      </c>
      <c r="K203" s="11" t="e">
        <f t="shared" si="33"/>
        <v>#N/A</v>
      </c>
      <c r="L203" s="14" t="e">
        <f t="shared" si="30"/>
        <v>#N/A</v>
      </c>
      <c r="M203" s="17" t="str">
        <f t="shared" si="31"/>
        <v/>
      </c>
      <c r="N203" s="18" t="str">
        <f t="shared" si="32"/>
        <v/>
      </c>
      <c r="O203" s="3"/>
      <c r="P203" s="3"/>
      <c r="T203" s="2" t="s">
        <v>141</v>
      </c>
      <c r="U203" s="19"/>
      <c r="V203" s="3" t="str">
        <f t="shared" si="34"/>
        <v/>
      </c>
      <c r="W203" s="34" t="str">
        <f t="shared" si="35"/>
        <v>0</v>
      </c>
    </row>
    <row r="204" spans="1:23" x14ac:dyDescent="0.35">
      <c r="A204" s="1">
        <v>202</v>
      </c>
      <c r="B204" s="15"/>
      <c r="C204" s="16"/>
      <c r="D204" s="16"/>
      <c r="E204" s="16"/>
      <c r="F204" s="3"/>
      <c r="G204" s="3"/>
      <c r="H204" s="3" t="e">
        <f t="shared" si="27"/>
        <v>#N/A</v>
      </c>
      <c r="I204" s="3" t="str">
        <f t="shared" si="28"/>
        <v>00</v>
      </c>
      <c r="J204" s="3" t="str">
        <f t="shared" si="29"/>
        <v>00</v>
      </c>
      <c r="K204" s="11" t="e">
        <f t="shared" si="33"/>
        <v>#N/A</v>
      </c>
      <c r="L204" s="14" t="e">
        <f t="shared" si="30"/>
        <v>#N/A</v>
      </c>
      <c r="M204" s="17" t="str">
        <f t="shared" si="31"/>
        <v/>
      </c>
      <c r="N204" s="18" t="str">
        <f t="shared" si="32"/>
        <v/>
      </c>
      <c r="O204" s="3"/>
      <c r="P204" s="3"/>
      <c r="T204" s="2" t="s">
        <v>141</v>
      </c>
      <c r="U204" s="19"/>
      <c r="V204" s="3" t="str">
        <f t="shared" si="34"/>
        <v/>
      </c>
      <c r="W204" s="34" t="str">
        <f t="shared" si="35"/>
        <v>0</v>
      </c>
    </row>
    <row r="205" spans="1:23" x14ac:dyDescent="0.35">
      <c r="A205" s="1">
        <v>203</v>
      </c>
      <c r="B205" s="15"/>
      <c r="C205" s="16"/>
      <c r="D205" s="16"/>
      <c r="E205" s="16"/>
      <c r="F205" s="3"/>
      <c r="G205" s="3"/>
      <c r="H205" s="3" t="e">
        <f t="shared" si="27"/>
        <v>#N/A</v>
      </c>
      <c r="I205" s="3" t="str">
        <f t="shared" si="28"/>
        <v>00</v>
      </c>
      <c r="J205" s="3" t="str">
        <f t="shared" si="29"/>
        <v>00</v>
      </c>
      <c r="K205" s="11" t="e">
        <f t="shared" si="33"/>
        <v>#N/A</v>
      </c>
      <c r="L205" s="14" t="e">
        <f t="shared" si="30"/>
        <v>#N/A</v>
      </c>
      <c r="M205" s="17" t="str">
        <f t="shared" si="31"/>
        <v/>
      </c>
      <c r="N205" s="18" t="str">
        <f t="shared" si="32"/>
        <v/>
      </c>
      <c r="O205" s="3"/>
      <c r="P205" s="3"/>
      <c r="T205" s="2" t="s">
        <v>141</v>
      </c>
      <c r="U205" s="19"/>
      <c r="V205" s="3" t="str">
        <f t="shared" si="34"/>
        <v/>
      </c>
      <c r="W205" s="34" t="str">
        <f t="shared" si="35"/>
        <v>0</v>
      </c>
    </row>
    <row r="206" spans="1:23" x14ac:dyDescent="0.35">
      <c r="A206" s="1">
        <v>204</v>
      </c>
      <c r="B206" s="15"/>
      <c r="C206" s="16"/>
      <c r="D206" s="16"/>
      <c r="E206" s="16"/>
      <c r="F206" s="3"/>
      <c r="G206" s="3"/>
      <c r="H206" s="3" t="e">
        <f t="shared" si="27"/>
        <v>#N/A</v>
      </c>
      <c r="I206" s="3" t="str">
        <f t="shared" si="28"/>
        <v>00</v>
      </c>
      <c r="J206" s="3" t="str">
        <f t="shared" si="29"/>
        <v>00</v>
      </c>
      <c r="K206" s="11" t="e">
        <f t="shared" si="33"/>
        <v>#N/A</v>
      </c>
      <c r="L206" s="14" t="e">
        <f t="shared" si="30"/>
        <v>#N/A</v>
      </c>
      <c r="M206" s="17" t="str">
        <f t="shared" si="31"/>
        <v/>
      </c>
      <c r="N206" s="18" t="str">
        <f t="shared" si="32"/>
        <v/>
      </c>
      <c r="O206" s="3"/>
      <c r="P206" s="3"/>
      <c r="T206" s="2" t="s">
        <v>141</v>
      </c>
      <c r="U206" s="19"/>
      <c r="V206" s="3" t="str">
        <f t="shared" si="34"/>
        <v/>
      </c>
      <c r="W206" s="34" t="str">
        <f t="shared" si="35"/>
        <v>0</v>
      </c>
    </row>
    <row r="207" spans="1:23" x14ac:dyDescent="0.35">
      <c r="A207" s="1">
        <v>205</v>
      </c>
      <c r="B207" s="15"/>
      <c r="C207" s="16"/>
      <c r="D207" s="16"/>
      <c r="E207" s="16"/>
      <c r="F207" s="3"/>
      <c r="G207" s="3"/>
      <c r="H207" s="3" t="e">
        <f t="shared" si="27"/>
        <v>#N/A</v>
      </c>
      <c r="I207" s="3" t="str">
        <f t="shared" si="28"/>
        <v>00</v>
      </c>
      <c r="J207" s="3" t="str">
        <f t="shared" si="29"/>
        <v>00</v>
      </c>
      <c r="K207" s="11" t="e">
        <f t="shared" si="33"/>
        <v>#N/A</v>
      </c>
      <c r="L207" s="14" t="e">
        <f t="shared" si="30"/>
        <v>#N/A</v>
      </c>
      <c r="M207" s="17" t="str">
        <f t="shared" si="31"/>
        <v/>
      </c>
      <c r="N207" s="18" t="str">
        <f t="shared" si="32"/>
        <v/>
      </c>
      <c r="O207" s="3"/>
      <c r="P207" s="3"/>
      <c r="T207" s="2" t="s">
        <v>141</v>
      </c>
      <c r="U207" s="19"/>
      <c r="V207" s="3" t="str">
        <f t="shared" si="34"/>
        <v/>
      </c>
      <c r="W207" s="34" t="str">
        <f t="shared" si="35"/>
        <v>0</v>
      </c>
    </row>
    <row r="208" spans="1:23" x14ac:dyDescent="0.35">
      <c r="A208" s="1">
        <v>206</v>
      </c>
      <c r="B208" s="15"/>
      <c r="C208" s="16"/>
      <c r="D208" s="16"/>
      <c r="E208" s="16"/>
      <c r="F208" s="3"/>
      <c r="G208" s="3"/>
      <c r="H208" s="3" t="e">
        <f t="shared" si="27"/>
        <v>#N/A</v>
      </c>
      <c r="I208" s="3" t="str">
        <f t="shared" si="28"/>
        <v>00</v>
      </c>
      <c r="J208" s="3" t="str">
        <f t="shared" si="29"/>
        <v>00</v>
      </c>
      <c r="K208" s="11" t="e">
        <f t="shared" si="33"/>
        <v>#N/A</v>
      </c>
      <c r="L208" s="14" t="e">
        <f t="shared" si="30"/>
        <v>#N/A</v>
      </c>
      <c r="M208" s="17" t="str">
        <f t="shared" si="31"/>
        <v/>
      </c>
      <c r="N208" s="18" t="str">
        <f t="shared" si="32"/>
        <v/>
      </c>
      <c r="O208" s="3"/>
      <c r="P208" s="3"/>
      <c r="T208" s="2" t="s">
        <v>141</v>
      </c>
      <c r="U208" s="19"/>
      <c r="V208" s="3" t="str">
        <f t="shared" si="34"/>
        <v/>
      </c>
      <c r="W208" s="34" t="str">
        <f t="shared" si="35"/>
        <v>0</v>
      </c>
    </row>
    <row r="209" spans="1:23" x14ac:dyDescent="0.35">
      <c r="A209" s="1">
        <v>207</v>
      </c>
      <c r="B209" s="15"/>
      <c r="C209" s="16"/>
      <c r="D209" s="16"/>
      <c r="E209" s="16"/>
      <c r="F209" s="3"/>
      <c r="G209" s="3"/>
      <c r="H209" s="3" t="e">
        <f t="shared" si="27"/>
        <v>#N/A</v>
      </c>
      <c r="I209" s="3" t="str">
        <f t="shared" si="28"/>
        <v>00</v>
      </c>
      <c r="J209" s="3" t="str">
        <f t="shared" si="29"/>
        <v>00</v>
      </c>
      <c r="K209" s="11" t="e">
        <f t="shared" si="33"/>
        <v>#N/A</v>
      </c>
      <c r="L209" s="14" t="e">
        <f t="shared" si="30"/>
        <v>#N/A</v>
      </c>
      <c r="M209" s="17" t="str">
        <f t="shared" si="31"/>
        <v/>
      </c>
      <c r="N209" s="18" t="str">
        <f t="shared" si="32"/>
        <v/>
      </c>
      <c r="O209" s="3"/>
      <c r="P209" s="3"/>
      <c r="T209" s="2" t="s">
        <v>141</v>
      </c>
      <c r="U209" s="19"/>
      <c r="V209" s="3" t="str">
        <f t="shared" si="34"/>
        <v/>
      </c>
      <c r="W209" s="34" t="str">
        <f t="shared" si="35"/>
        <v>0</v>
      </c>
    </row>
    <row r="210" spans="1:23" x14ac:dyDescent="0.35">
      <c r="A210" s="1">
        <v>208</v>
      </c>
      <c r="B210" s="15"/>
      <c r="C210" s="16"/>
      <c r="D210" s="16"/>
      <c r="E210" s="16"/>
      <c r="F210" s="3"/>
      <c r="G210" s="3"/>
      <c r="H210" s="3" t="e">
        <f t="shared" si="27"/>
        <v>#N/A</v>
      </c>
      <c r="I210" s="3" t="str">
        <f t="shared" si="28"/>
        <v>00</v>
      </c>
      <c r="J210" s="3" t="str">
        <f t="shared" si="29"/>
        <v>00</v>
      </c>
      <c r="K210" s="11" t="e">
        <f t="shared" si="33"/>
        <v>#N/A</v>
      </c>
      <c r="L210" s="14" t="e">
        <f t="shared" si="30"/>
        <v>#N/A</v>
      </c>
      <c r="M210" s="17" t="str">
        <f t="shared" si="31"/>
        <v/>
      </c>
      <c r="N210" s="18" t="str">
        <f t="shared" si="32"/>
        <v/>
      </c>
      <c r="O210" s="3"/>
      <c r="P210" s="3"/>
      <c r="T210" s="2" t="s">
        <v>141</v>
      </c>
      <c r="U210" s="19"/>
      <c r="V210" s="3" t="str">
        <f t="shared" si="34"/>
        <v/>
      </c>
      <c r="W210" s="34" t="str">
        <f t="shared" si="35"/>
        <v>0</v>
      </c>
    </row>
    <row r="211" spans="1:23" x14ac:dyDescent="0.35">
      <c r="A211" s="1">
        <v>209</v>
      </c>
      <c r="B211" s="15"/>
      <c r="C211" s="16"/>
      <c r="D211" s="16"/>
      <c r="E211" s="16"/>
      <c r="F211" s="3"/>
      <c r="G211" s="3"/>
      <c r="H211" s="3" t="e">
        <f t="shared" si="27"/>
        <v>#N/A</v>
      </c>
      <c r="I211" s="3" t="str">
        <f t="shared" si="28"/>
        <v>00</v>
      </c>
      <c r="J211" s="3" t="str">
        <f t="shared" si="29"/>
        <v>00</v>
      </c>
      <c r="K211" s="11" t="e">
        <f t="shared" si="33"/>
        <v>#N/A</v>
      </c>
      <c r="L211" s="14" t="e">
        <f t="shared" si="30"/>
        <v>#N/A</v>
      </c>
      <c r="M211" s="17" t="str">
        <f t="shared" si="31"/>
        <v/>
      </c>
      <c r="N211" s="18" t="str">
        <f t="shared" si="32"/>
        <v/>
      </c>
      <c r="O211" s="3"/>
      <c r="P211" s="3"/>
      <c r="T211" s="2" t="s">
        <v>141</v>
      </c>
      <c r="U211" s="19"/>
      <c r="V211" s="3" t="str">
        <f t="shared" si="34"/>
        <v/>
      </c>
      <c r="W211" s="34" t="str">
        <f t="shared" si="35"/>
        <v>0</v>
      </c>
    </row>
    <row r="212" spans="1:23" x14ac:dyDescent="0.35">
      <c r="A212" s="1">
        <v>210</v>
      </c>
      <c r="B212" s="15"/>
      <c r="C212" s="16"/>
      <c r="D212" s="16"/>
      <c r="E212" s="16"/>
      <c r="F212" s="3"/>
      <c r="G212" s="3"/>
      <c r="H212" s="3" t="e">
        <f t="shared" si="27"/>
        <v>#N/A</v>
      </c>
      <c r="I212" s="3" t="str">
        <f t="shared" si="28"/>
        <v>00</v>
      </c>
      <c r="J212" s="3" t="str">
        <f t="shared" si="29"/>
        <v>00</v>
      </c>
      <c r="K212" s="11" t="e">
        <f t="shared" si="33"/>
        <v>#N/A</v>
      </c>
      <c r="L212" s="14" t="e">
        <f t="shared" si="30"/>
        <v>#N/A</v>
      </c>
      <c r="M212" s="17" t="str">
        <f t="shared" si="31"/>
        <v/>
      </c>
      <c r="N212" s="18" t="str">
        <f t="shared" si="32"/>
        <v/>
      </c>
      <c r="O212" s="3"/>
      <c r="P212" s="3"/>
      <c r="T212" s="2" t="s">
        <v>141</v>
      </c>
      <c r="U212" s="19"/>
      <c r="V212" s="3" t="str">
        <f t="shared" si="34"/>
        <v/>
      </c>
      <c r="W212" s="34" t="str">
        <f t="shared" si="35"/>
        <v>0</v>
      </c>
    </row>
    <row r="213" spans="1:23" x14ac:dyDescent="0.35">
      <c r="A213" s="1">
        <v>211</v>
      </c>
      <c r="B213" s="15"/>
      <c r="C213" s="16"/>
      <c r="D213" s="16"/>
      <c r="E213" s="16"/>
      <c r="F213" s="3"/>
      <c r="G213" s="3"/>
      <c r="H213" s="3" t="e">
        <f t="shared" si="27"/>
        <v>#N/A</v>
      </c>
      <c r="I213" s="3" t="str">
        <f t="shared" si="28"/>
        <v>00</v>
      </c>
      <c r="J213" s="3" t="str">
        <f t="shared" si="29"/>
        <v>00</v>
      </c>
      <c r="K213" s="11" t="e">
        <f t="shared" si="33"/>
        <v>#N/A</v>
      </c>
      <c r="L213" s="14" t="e">
        <f t="shared" si="30"/>
        <v>#N/A</v>
      </c>
      <c r="M213" s="17" t="str">
        <f t="shared" si="31"/>
        <v/>
      </c>
      <c r="N213" s="18" t="str">
        <f t="shared" si="32"/>
        <v/>
      </c>
      <c r="O213" s="3"/>
      <c r="P213" s="3"/>
      <c r="T213" s="2" t="s">
        <v>141</v>
      </c>
      <c r="U213" s="19"/>
      <c r="V213" s="3" t="str">
        <f t="shared" si="34"/>
        <v/>
      </c>
      <c r="W213" s="34" t="str">
        <f t="shared" si="35"/>
        <v>0</v>
      </c>
    </row>
    <row r="214" spans="1:23" x14ac:dyDescent="0.35">
      <c r="A214" s="1">
        <v>212</v>
      </c>
      <c r="B214" s="15"/>
      <c r="C214" s="16"/>
      <c r="D214" s="16"/>
      <c r="E214" s="16"/>
      <c r="F214" s="3"/>
      <c r="G214" s="3"/>
      <c r="H214" s="3" t="e">
        <f t="shared" si="27"/>
        <v>#N/A</v>
      </c>
      <c r="I214" s="3" t="str">
        <f t="shared" si="28"/>
        <v>00</v>
      </c>
      <c r="J214" s="3" t="str">
        <f t="shared" si="29"/>
        <v>00</v>
      </c>
      <c r="K214" s="11" t="e">
        <f t="shared" si="33"/>
        <v>#N/A</v>
      </c>
      <c r="L214" s="14" t="e">
        <f t="shared" si="30"/>
        <v>#N/A</v>
      </c>
      <c r="M214" s="17" t="str">
        <f t="shared" si="31"/>
        <v/>
      </c>
      <c r="N214" s="18" t="str">
        <f t="shared" si="32"/>
        <v/>
      </c>
      <c r="O214" s="3"/>
      <c r="P214" s="3"/>
      <c r="T214" s="2" t="s">
        <v>141</v>
      </c>
      <c r="U214" s="19"/>
      <c r="V214" s="3" t="str">
        <f t="shared" si="34"/>
        <v/>
      </c>
      <c r="W214" s="34" t="str">
        <f t="shared" si="35"/>
        <v>0</v>
      </c>
    </row>
    <row r="215" spans="1:23" x14ac:dyDescent="0.35">
      <c r="A215" s="1">
        <v>213</v>
      </c>
      <c r="B215" s="15"/>
      <c r="C215" s="16"/>
      <c r="D215" s="16"/>
      <c r="E215" s="16"/>
      <c r="F215" s="3"/>
      <c r="G215" s="3"/>
      <c r="H215" s="3" t="e">
        <f t="shared" si="27"/>
        <v>#N/A</v>
      </c>
      <c r="I215" s="3" t="str">
        <f t="shared" si="28"/>
        <v>00</v>
      </c>
      <c r="J215" s="3" t="str">
        <f t="shared" si="29"/>
        <v>00</v>
      </c>
      <c r="K215" s="11" t="e">
        <f t="shared" si="33"/>
        <v>#N/A</v>
      </c>
      <c r="L215" s="14" t="e">
        <f t="shared" si="30"/>
        <v>#N/A</v>
      </c>
      <c r="M215" s="17" t="str">
        <f t="shared" si="31"/>
        <v/>
      </c>
      <c r="N215" s="18" t="str">
        <f t="shared" si="32"/>
        <v/>
      </c>
      <c r="O215" s="3"/>
      <c r="P215" s="3"/>
      <c r="T215" s="2" t="s">
        <v>141</v>
      </c>
      <c r="U215" s="19"/>
      <c r="V215" s="3" t="str">
        <f t="shared" si="34"/>
        <v/>
      </c>
      <c r="W215" s="34" t="str">
        <f t="shared" si="35"/>
        <v>0</v>
      </c>
    </row>
    <row r="216" spans="1:23" x14ac:dyDescent="0.35">
      <c r="A216" s="1">
        <v>214</v>
      </c>
      <c r="B216" s="15"/>
      <c r="C216" s="16"/>
      <c r="D216" s="16"/>
      <c r="E216" s="16"/>
      <c r="F216" s="3"/>
      <c r="G216" s="3"/>
      <c r="H216" s="3" t="e">
        <f t="shared" si="27"/>
        <v>#N/A</v>
      </c>
      <c r="I216" s="3" t="str">
        <f t="shared" si="28"/>
        <v>00</v>
      </c>
      <c r="J216" s="3" t="str">
        <f t="shared" si="29"/>
        <v>00</v>
      </c>
      <c r="K216" s="11" t="e">
        <f t="shared" si="33"/>
        <v>#N/A</v>
      </c>
      <c r="L216" s="14" t="e">
        <f t="shared" si="30"/>
        <v>#N/A</v>
      </c>
      <c r="M216" s="17" t="str">
        <f t="shared" si="31"/>
        <v/>
      </c>
      <c r="N216" s="18" t="str">
        <f t="shared" si="32"/>
        <v/>
      </c>
      <c r="O216" s="3"/>
      <c r="P216" s="3"/>
      <c r="T216" s="2" t="s">
        <v>141</v>
      </c>
      <c r="U216" s="19"/>
      <c r="V216" s="3" t="str">
        <f t="shared" si="34"/>
        <v/>
      </c>
      <c r="W216" s="34" t="str">
        <f t="shared" si="35"/>
        <v>0</v>
      </c>
    </row>
    <row r="217" spans="1:23" x14ac:dyDescent="0.35">
      <c r="A217" s="1">
        <v>215</v>
      </c>
      <c r="B217" s="15"/>
      <c r="C217" s="16"/>
      <c r="D217" s="16"/>
      <c r="E217" s="16"/>
      <c r="F217" s="3"/>
      <c r="G217" s="3"/>
      <c r="H217" s="3" t="e">
        <f t="shared" si="27"/>
        <v>#N/A</v>
      </c>
      <c r="I217" s="3" t="str">
        <f t="shared" si="28"/>
        <v>00</v>
      </c>
      <c r="J217" s="3" t="str">
        <f t="shared" si="29"/>
        <v>00</v>
      </c>
      <c r="K217" s="11" t="e">
        <f t="shared" si="33"/>
        <v>#N/A</v>
      </c>
      <c r="L217" s="14" t="e">
        <f t="shared" si="30"/>
        <v>#N/A</v>
      </c>
      <c r="M217" s="17" t="str">
        <f t="shared" si="31"/>
        <v/>
      </c>
      <c r="N217" s="18" t="str">
        <f t="shared" si="32"/>
        <v/>
      </c>
      <c r="O217" s="3"/>
      <c r="P217" s="3"/>
      <c r="T217" s="2" t="s">
        <v>141</v>
      </c>
      <c r="U217" s="19"/>
      <c r="V217" s="3" t="str">
        <f t="shared" si="34"/>
        <v/>
      </c>
      <c r="W217" s="34" t="str">
        <f t="shared" si="35"/>
        <v>0</v>
      </c>
    </row>
    <row r="218" spans="1:23" x14ac:dyDescent="0.35">
      <c r="A218" s="1">
        <v>216</v>
      </c>
      <c r="B218" s="15"/>
      <c r="C218" s="16"/>
      <c r="D218" s="16"/>
      <c r="E218" s="16"/>
      <c r="F218" s="3"/>
      <c r="G218" s="3"/>
      <c r="H218" s="3" t="e">
        <f t="shared" si="27"/>
        <v>#N/A</v>
      </c>
      <c r="I218" s="3" t="str">
        <f t="shared" si="28"/>
        <v>00</v>
      </c>
      <c r="J218" s="3" t="str">
        <f t="shared" si="29"/>
        <v>00</v>
      </c>
      <c r="K218" s="11" t="e">
        <f t="shared" si="33"/>
        <v>#N/A</v>
      </c>
      <c r="L218" s="14" t="e">
        <f t="shared" si="30"/>
        <v>#N/A</v>
      </c>
      <c r="M218" s="17" t="str">
        <f t="shared" si="31"/>
        <v/>
      </c>
      <c r="N218" s="18" t="str">
        <f t="shared" si="32"/>
        <v/>
      </c>
      <c r="O218" s="3"/>
      <c r="P218" s="3"/>
      <c r="T218" s="2" t="s">
        <v>141</v>
      </c>
      <c r="U218" s="19"/>
      <c r="V218" s="3" t="str">
        <f t="shared" si="34"/>
        <v/>
      </c>
      <c r="W218" s="34" t="str">
        <f t="shared" si="35"/>
        <v>0</v>
      </c>
    </row>
    <row r="219" spans="1:23" x14ac:dyDescent="0.35">
      <c r="A219" s="1">
        <v>217</v>
      </c>
      <c r="B219" s="15"/>
      <c r="C219" s="16"/>
      <c r="D219" s="16"/>
      <c r="E219" s="16"/>
      <c r="F219" s="3"/>
      <c r="G219" s="3"/>
      <c r="H219" s="3" t="e">
        <f t="shared" si="27"/>
        <v>#N/A</v>
      </c>
      <c r="I219" s="3" t="str">
        <f t="shared" si="28"/>
        <v>00</v>
      </c>
      <c r="J219" s="3" t="str">
        <f t="shared" si="29"/>
        <v>00</v>
      </c>
      <c r="K219" s="11" t="e">
        <f t="shared" si="33"/>
        <v>#N/A</v>
      </c>
      <c r="L219" s="14" t="e">
        <f t="shared" si="30"/>
        <v>#N/A</v>
      </c>
      <c r="M219" s="17" t="str">
        <f t="shared" si="31"/>
        <v/>
      </c>
      <c r="N219" s="18" t="str">
        <f t="shared" si="32"/>
        <v/>
      </c>
      <c r="O219" s="3"/>
      <c r="P219" s="3"/>
      <c r="T219" s="2" t="s">
        <v>141</v>
      </c>
      <c r="U219" s="19"/>
      <c r="V219" s="3" t="str">
        <f t="shared" si="34"/>
        <v/>
      </c>
      <c r="W219" s="34" t="str">
        <f t="shared" si="35"/>
        <v>0</v>
      </c>
    </row>
    <row r="220" spans="1:23" x14ac:dyDescent="0.35">
      <c r="A220" s="1">
        <v>218</v>
      </c>
      <c r="B220" s="15"/>
      <c r="C220" s="16"/>
      <c r="D220" s="16"/>
      <c r="E220" s="16"/>
      <c r="F220" s="3"/>
      <c r="G220" s="3"/>
      <c r="H220" s="3" t="e">
        <f t="shared" si="27"/>
        <v>#N/A</v>
      </c>
      <c r="I220" s="3" t="str">
        <f t="shared" si="28"/>
        <v>00</v>
      </c>
      <c r="J220" s="3" t="str">
        <f t="shared" si="29"/>
        <v>00</v>
      </c>
      <c r="K220" s="11" t="e">
        <f t="shared" si="33"/>
        <v>#N/A</v>
      </c>
      <c r="L220" s="14" t="e">
        <f t="shared" si="30"/>
        <v>#N/A</v>
      </c>
      <c r="M220" s="17" t="str">
        <f t="shared" si="31"/>
        <v/>
      </c>
      <c r="N220" s="18" t="str">
        <f t="shared" si="32"/>
        <v/>
      </c>
      <c r="O220" s="3"/>
      <c r="P220" s="3"/>
      <c r="T220" s="2" t="s">
        <v>141</v>
      </c>
      <c r="U220" s="19"/>
      <c r="V220" s="3" t="str">
        <f t="shared" si="34"/>
        <v/>
      </c>
      <c r="W220" s="34" t="str">
        <f t="shared" si="35"/>
        <v>0</v>
      </c>
    </row>
    <row r="221" spans="1:23" x14ac:dyDescent="0.35">
      <c r="A221" s="1">
        <v>219</v>
      </c>
      <c r="B221" s="15"/>
      <c r="C221" s="16"/>
      <c r="D221" s="16"/>
      <c r="E221" s="16"/>
      <c r="F221" s="3"/>
      <c r="G221" s="3"/>
      <c r="H221" s="3" t="e">
        <f t="shared" si="27"/>
        <v>#N/A</v>
      </c>
      <c r="I221" s="3" t="str">
        <f t="shared" si="28"/>
        <v>00</v>
      </c>
      <c r="J221" s="3" t="str">
        <f t="shared" si="29"/>
        <v>00</v>
      </c>
      <c r="K221" s="11" t="e">
        <f t="shared" si="33"/>
        <v>#N/A</v>
      </c>
      <c r="L221" s="14" t="e">
        <f t="shared" si="30"/>
        <v>#N/A</v>
      </c>
      <c r="M221" s="17" t="str">
        <f t="shared" si="31"/>
        <v/>
      </c>
      <c r="N221" s="18" t="str">
        <f t="shared" si="32"/>
        <v/>
      </c>
      <c r="O221" s="3"/>
      <c r="P221" s="3"/>
      <c r="T221" s="2" t="s">
        <v>141</v>
      </c>
      <c r="U221" s="19"/>
      <c r="V221" s="3" t="str">
        <f t="shared" si="34"/>
        <v/>
      </c>
      <c r="W221" s="34" t="str">
        <f t="shared" si="35"/>
        <v>0</v>
      </c>
    </row>
    <row r="222" spans="1:23" x14ac:dyDescent="0.35">
      <c r="A222" s="1">
        <v>220</v>
      </c>
      <c r="B222" s="15"/>
      <c r="C222" s="16"/>
      <c r="D222" s="16"/>
      <c r="E222" s="16"/>
      <c r="F222" s="3"/>
      <c r="G222" s="3"/>
      <c r="H222" s="3" t="e">
        <f t="shared" si="27"/>
        <v>#N/A</v>
      </c>
      <c r="I222" s="3" t="str">
        <f t="shared" si="28"/>
        <v>00</v>
      </c>
      <c r="J222" s="3" t="str">
        <f t="shared" si="29"/>
        <v>00</v>
      </c>
      <c r="K222" s="11" t="e">
        <f t="shared" si="33"/>
        <v>#N/A</v>
      </c>
      <c r="L222" s="14" t="e">
        <f t="shared" si="30"/>
        <v>#N/A</v>
      </c>
      <c r="M222" s="17" t="str">
        <f t="shared" si="31"/>
        <v/>
      </c>
      <c r="N222" s="18" t="str">
        <f t="shared" si="32"/>
        <v/>
      </c>
      <c r="O222" s="3"/>
      <c r="P222" s="3"/>
      <c r="T222" s="2" t="s">
        <v>141</v>
      </c>
      <c r="U222" s="19"/>
      <c r="V222" s="3" t="str">
        <f t="shared" si="34"/>
        <v/>
      </c>
      <c r="W222" s="34" t="str">
        <f t="shared" si="35"/>
        <v>0</v>
      </c>
    </row>
    <row r="223" spans="1:23" x14ac:dyDescent="0.35">
      <c r="A223" s="1">
        <v>221</v>
      </c>
      <c r="B223" s="15"/>
      <c r="C223" s="16"/>
      <c r="D223" s="16"/>
      <c r="E223" s="16"/>
      <c r="F223" s="3"/>
      <c r="G223" s="3"/>
      <c r="H223" s="3" t="e">
        <f t="shared" si="27"/>
        <v>#N/A</v>
      </c>
      <c r="I223" s="3" t="str">
        <f t="shared" si="28"/>
        <v>00</v>
      </c>
      <c r="J223" s="3" t="str">
        <f t="shared" si="29"/>
        <v>00</v>
      </c>
      <c r="K223" s="11" t="e">
        <f t="shared" si="33"/>
        <v>#N/A</v>
      </c>
      <c r="L223" s="14" t="e">
        <f t="shared" si="30"/>
        <v>#N/A</v>
      </c>
      <c r="M223" s="17" t="str">
        <f t="shared" si="31"/>
        <v/>
      </c>
      <c r="N223" s="18" t="str">
        <f t="shared" si="32"/>
        <v/>
      </c>
      <c r="O223" s="3"/>
      <c r="P223" s="3"/>
      <c r="T223" s="2" t="s">
        <v>141</v>
      </c>
      <c r="U223" s="19"/>
      <c r="V223" s="3" t="str">
        <f t="shared" si="34"/>
        <v/>
      </c>
      <c r="W223" s="34" t="str">
        <f t="shared" si="35"/>
        <v>0</v>
      </c>
    </row>
    <row r="224" spans="1:23" x14ac:dyDescent="0.35">
      <c r="A224" s="1">
        <v>222</v>
      </c>
      <c r="B224" s="15"/>
      <c r="C224" s="16"/>
      <c r="D224" s="16"/>
      <c r="E224" s="16"/>
      <c r="F224" s="3"/>
      <c r="G224" s="3"/>
      <c r="H224" s="3" t="e">
        <f t="shared" si="27"/>
        <v>#N/A</v>
      </c>
      <c r="I224" s="3" t="str">
        <f t="shared" si="28"/>
        <v>00</v>
      </c>
      <c r="J224" s="3" t="str">
        <f t="shared" si="29"/>
        <v>00</v>
      </c>
      <c r="K224" s="11" t="e">
        <f t="shared" si="33"/>
        <v>#N/A</v>
      </c>
      <c r="L224" s="14" t="e">
        <f t="shared" si="30"/>
        <v>#N/A</v>
      </c>
      <c r="M224" s="17" t="str">
        <f t="shared" si="31"/>
        <v/>
      </c>
      <c r="N224" s="18" t="str">
        <f t="shared" si="32"/>
        <v/>
      </c>
      <c r="O224" s="3"/>
      <c r="P224" s="3"/>
      <c r="T224" s="2" t="s">
        <v>141</v>
      </c>
      <c r="U224" s="19"/>
      <c r="V224" s="3" t="str">
        <f t="shared" si="34"/>
        <v/>
      </c>
      <c r="W224" s="34" t="str">
        <f t="shared" si="35"/>
        <v>0</v>
      </c>
    </row>
    <row r="225" spans="1:23" x14ac:dyDescent="0.35">
      <c r="A225" s="1">
        <v>223</v>
      </c>
      <c r="B225" s="15"/>
      <c r="C225" s="16"/>
      <c r="D225" s="16"/>
      <c r="E225" s="16"/>
      <c r="F225" s="3"/>
      <c r="G225" s="3"/>
      <c r="H225" s="3" t="e">
        <f t="shared" si="27"/>
        <v>#N/A</v>
      </c>
      <c r="I225" s="3" t="str">
        <f t="shared" si="28"/>
        <v>00</v>
      </c>
      <c r="J225" s="3" t="str">
        <f t="shared" si="29"/>
        <v>00</v>
      </c>
      <c r="K225" s="11" t="e">
        <f t="shared" si="33"/>
        <v>#N/A</v>
      </c>
      <c r="L225" s="14" t="e">
        <f t="shared" si="30"/>
        <v>#N/A</v>
      </c>
      <c r="M225" s="17" t="str">
        <f t="shared" si="31"/>
        <v/>
      </c>
      <c r="N225" s="18" t="str">
        <f t="shared" si="32"/>
        <v/>
      </c>
      <c r="O225" s="3"/>
      <c r="P225" s="3"/>
      <c r="T225" s="2" t="s">
        <v>141</v>
      </c>
      <c r="U225" s="19"/>
      <c r="V225" s="3" t="str">
        <f t="shared" si="34"/>
        <v/>
      </c>
      <c r="W225" s="34" t="str">
        <f t="shared" si="35"/>
        <v>0</v>
      </c>
    </row>
    <row r="226" spans="1:23" x14ac:dyDescent="0.35">
      <c r="A226" s="1">
        <v>224</v>
      </c>
      <c r="B226" s="15"/>
      <c r="C226" s="16"/>
      <c r="D226" s="16"/>
      <c r="E226" s="16"/>
      <c r="F226" s="3"/>
      <c r="G226" s="3"/>
      <c r="H226" s="3" t="e">
        <f t="shared" si="27"/>
        <v>#N/A</v>
      </c>
      <c r="I226" s="3" t="str">
        <f t="shared" si="28"/>
        <v>00</v>
      </c>
      <c r="J226" s="3" t="str">
        <f t="shared" si="29"/>
        <v>00</v>
      </c>
      <c r="K226" s="11" t="e">
        <f t="shared" si="33"/>
        <v>#N/A</v>
      </c>
      <c r="L226" s="14" t="e">
        <f t="shared" si="30"/>
        <v>#N/A</v>
      </c>
      <c r="M226" s="17" t="str">
        <f t="shared" si="31"/>
        <v/>
      </c>
      <c r="N226" s="18" t="str">
        <f t="shared" si="32"/>
        <v/>
      </c>
      <c r="O226" s="3"/>
      <c r="P226" s="3"/>
      <c r="T226" s="2" t="s">
        <v>141</v>
      </c>
      <c r="U226" s="19"/>
      <c r="V226" s="3" t="str">
        <f t="shared" si="34"/>
        <v/>
      </c>
      <c r="W226" s="34" t="str">
        <f t="shared" si="35"/>
        <v>0</v>
      </c>
    </row>
    <row r="227" spans="1:23" x14ac:dyDescent="0.35">
      <c r="A227" s="1">
        <v>225</v>
      </c>
      <c r="B227" s="15"/>
      <c r="C227" s="16"/>
      <c r="D227" s="16"/>
      <c r="E227" s="16"/>
      <c r="F227" s="3"/>
      <c r="G227" s="3"/>
      <c r="H227" s="3" t="e">
        <f t="shared" si="27"/>
        <v>#N/A</v>
      </c>
      <c r="I227" s="3" t="str">
        <f t="shared" si="28"/>
        <v>00</v>
      </c>
      <c r="J227" s="3" t="str">
        <f t="shared" si="29"/>
        <v>00</v>
      </c>
      <c r="K227" s="11" t="e">
        <f t="shared" si="33"/>
        <v>#N/A</v>
      </c>
      <c r="L227" s="14" t="e">
        <f t="shared" si="30"/>
        <v>#N/A</v>
      </c>
      <c r="M227" s="17" t="str">
        <f t="shared" si="31"/>
        <v/>
      </c>
      <c r="N227" s="18" t="str">
        <f t="shared" si="32"/>
        <v/>
      </c>
      <c r="O227" s="3"/>
      <c r="P227" s="3"/>
      <c r="T227" s="2" t="s">
        <v>141</v>
      </c>
      <c r="U227" s="19"/>
      <c r="V227" s="3" t="str">
        <f t="shared" si="34"/>
        <v/>
      </c>
      <c r="W227" s="34" t="str">
        <f t="shared" si="35"/>
        <v>0</v>
      </c>
    </row>
    <row r="228" spans="1:23" x14ac:dyDescent="0.35">
      <c r="A228" s="1">
        <v>226</v>
      </c>
      <c r="B228" s="15"/>
      <c r="C228" s="16"/>
      <c r="D228" s="16"/>
      <c r="E228" s="16"/>
      <c r="F228" s="3"/>
      <c r="G228" s="3"/>
      <c r="H228" s="3" t="e">
        <f t="shared" si="27"/>
        <v>#N/A</v>
      </c>
      <c r="I228" s="3" t="str">
        <f t="shared" si="28"/>
        <v>00</v>
      </c>
      <c r="J228" s="3" t="str">
        <f t="shared" si="29"/>
        <v>00</v>
      </c>
      <c r="K228" s="11" t="e">
        <f t="shared" si="33"/>
        <v>#N/A</v>
      </c>
      <c r="L228" s="14" t="e">
        <f t="shared" si="30"/>
        <v>#N/A</v>
      </c>
      <c r="M228" s="17" t="str">
        <f t="shared" si="31"/>
        <v/>
      </c>
      <c r="N228" s="18" t="str">
        <f t="shared" si="32"/>
        <v/>
      </c>
      <c r="O228" s="3"/>
      <c r="P228" s="3"/>
      <c r="T228" s="2" t="s">
        <v>141</v>
      </c>
      <c r="U228" s="19"/>
      <c r="V228" s="3" t="str">
        <f t="shared" si="34"/>
        <v/>
      </c>
      <c r="W228" s="34" t="str">
        <f t="shared" si="35"/>
        <v>0</v>
      </c>
    </row>
    <row r="229" spans="1:23" x14ac:dyDescent="0.35">
      <c r="A229" s="1">
        <v>227</v>
      </c>
      <c r="B229" s="15"/>
      <c r="C229" s="16"/>
      <c r="D229" s="16"/>
      <c r="E229" s="16"/>
      <c r="F229" s="3"/>
      <c r="G229" s="3"/>
      <c r="H229" s="3" t="e">
        <f t="shared" si="27"/>
        <v>#N/A</v>
      </c>
      <c r="I229" s="3" t="str">
        <f t="shared" si="28"/>
        <v>00</v>
      </c>
      <c r="J229" s="3" t="str">
        <f t="shared" si="29"/>
        <v>00</v>
      </c>
      <c r="K229" s="11" t="e">
        <f t="shared" si="33"/>
        <v>#N/A</v>
      </c>
      <c r="L229" s="14" t="e">
        <f t="shared" si="30"/>
        <v>#N/A</v>
      </c>
      <c r="M229" s="17" t="str">
        <f t="shared" si="31"/>
        <v/>
      </c>
      <c r="N229" s="18" t="str">
        <f t="shared" si="32"/>
        <v/>
      </c>
      <c r="O229" s="3"/>
      <c r="P229" s="3"/>
      <c r="T229" s="2" t="s">
        <v>141</v>
      </c>
      <c r="U229" s="19"/>
      <c r="V229" s="3" t="str">
        <f t="shared" si="34"/>
        <v/>
      </c>
      <c r="W229" s="34" t="str">
        <f t="shared" si="35"/>
        <v>0</v>
      </c>
    </row>
    <row r="230" spans="1:23" x14ac:dyDescent="0.35">
      <c r="A230" s="1">
        <v>228</v>
      </c>
      <c r="B230" s="15"/>
      <c r="C230" s="16"/>
      <c r="D230" s="16"/>
      <c r="E230" s="16"/>
      <c r="F230" s="3"/>
      <c r="G230" s="3"/>
      <c r="H230" s="3" t="e">
        <f t="shared" si="27"/>
        <v>#N/A</v>
      </c>
      <c r="I230" s="3" t="str">
        <f t="shared" si="28"/>
        <v>00</v>
      </c>
      <c r="J230" s="3" t="str">
        <f t="shared" si="29"/>
        <v>00</v>
      </c>
      <c r="K230" s="11" t="e">
        <f t="shared" si="33"/>
        <v>#N/A</v>
      </c>
      <c r="L230" s="14" t="e">
        <f t="shared" si="30"/>
        <v>#N/A</v>
      </c>
      <c r="M230" s="17" t="str">
        <f t="shared" si="31"/>
        <v/>
      </c>
      <c r="N230" s="18" t="str">
        <f t="shared" si="32"/>
        <v/>
      </c>
      <c r="O230" s="3"/>
      <c r="P230" s="3"/>
      <c r="T230" s="2" t="s">
        <v>141</v>
      </c>
      <c r="U230" s="19"/>
      <c r="V230" s="3" t="str">
        <f t="shared" si="34"/>
        <v/>
      </c>
      <c r="W230" s="34" t="str">
        <f t="shared" si="35"/>
        <v>0</v>
      </c>
    </row>
    <row r="231" spans="1:23" x14ac:dyDescent="0.35">
      <c r="A231" s="1">
        <v>229</v>
      </c>
      <c r="B231" s="15"/>
      <c r="C231" s="16"/>
      <c r="D231" s="16"/>
      <c r="E231" s="16"/>
      <c r="F231" s="3"/>
      <c r="G231" s="3"/>
      <c r="H231" s="3" t="e">
        <f t="shared" si="27"/>
        <v>#N/A</v>
      </c>
      <c r="I231" s="3" t="str">
        <f t="shared" si="28"/>
        <v>00</v>
      </c>
      <c r="J231" s="3" t="str">
        <f t="shared" si="29"/>
        <v>00</v>
      </c>
      <c r="K231" s="11" t="e">
        <f t="shared" si="33"/>
        <v>#N/A</v>
      </c>
      <c r="L231" s="14" t="e">
        <f t="shared" si="30"/>
        <v>#N/A</v>
      </c>
      <c r="M231" s="17" t="str">
        <f t="shared" si="31"/>
        <v/>
      </c>
      <c r="N231" s="18" t="str">
        <f t="shared" si="32"/>
        <v/>
      </c>
      <c r="O231" s="3"/>
      <c r="P231" s="3"/>
      <c r="T231" s="2" t="s">
        <v>141</v>
      </c>
      <c r="U231" s="19"/>
      <c r="V231" s="3" t="str">
        <f t="shared" si="34"/>
        <v/>
      </c>
      <c r="W231" s="34" t="str">
        <f t="shared" si="35"/>
        <v>0</v>
      </c>
    </row>
    <row r="232" spans="1:23" x14ac:dyDescent="0.35">
      <c r="A232" s="1">
        <v>230</v>
      </c>
      <c r="B232" s="15"/>
      <c r="C232" s="16"/>
      <c r="D232" s="16"/>
      <c r="E232" s="16"/>
      <c r="F232" s="3"/>
      <c r="G232" s="3"/>
      <c r="H232" s="3" t="e">
        <f t="shared" si="27"/>
        <v>#N/A</v>
      </c>
      <c r="I232" s="3" t="str">
        <f t="shared" si="28"/>
        <v>00</v>
      </c>
      <c r="J232" s="3" t="str">
        <f t="shared" si="29"/>
        <v>00</v>
      </c>
      <c r="K232" s="11" t="e">
        <f t="shared" si="33"/>
        <v>#N/A</v>
      </c>
      <c r="L232" s="14" t="e">
        <f t="shared" si="30"/>
        <v>#N/A</v>
      </c>
      <c r="M232" s="17" t="str">
        <f t="shared" si="31"/>
        <v/>
      </c>
      <c r="N232" s="18" t="str">
        <f t="shared" si="32"/>
        <v/>
      </c>
      <c r="O232" s="3"/>
      <c r="P232" s="3"/>
      <c r="T232" s="2" t="s">
        <v>141</v>
      </c>
      <c r="U232" s="19"/>
      <c r="V232" s="3" t="str">
        <f t="shared" si="34"/>
        <v/>
      </c>
      <c r="W232" s="34" t="str">
        <f t="shared" si="35"/>
        <v>0</v>
      </c>
    </row>
    <row r="233" spans="1:23" x14ac:dyDescent="0.35">
      <c r="A233" s="1">
        <v>231</v>
      </c>
      <c r="B233" s="15"/>
      <c r="C233" s="16"/>
      <c r="D233" s="16"/>
      <c r="E233" s="16"/>
      <c r="F233" s="3"/>
      <c r="G233" s="3"/>
      <c r="H233" s="3" t="e">
        <f t="shared" si="27"/>
        <v>#N/A</v>
      </c>
      <c r="I233" s="3" t="str">
        <f t="shared" si="28"/>
        <v>00</v>
      </c>
      <c r="J233" s="3" t="str">
        <f t="shared" si="29"/>
        <v>00</v>
      </c>
      <c r="K233" s="11" t="e">
        <f t="shared" si="33"/>
        <v>#N/A</v>
      </c>
      <c r="L233" s="14" t="e">
        <f t="shared" si="30"/>
        <v>#N/A</v>
      </c>
      <c r="M233" s="17" t="str">
        <f t="shared" si="31"/>
        <v/>
      </c>
      <c r="N233" s="18" t="str">
        <f t="shared" si="32"/>
        <v/>
      </c>
      <c r="O233" s="3"/>
      <c r="P233" s="3"/>
      <c r="T233" s="2" t="s">
        <v>141</v>
      </c>
      <c r="U233" s="19"/>
      <c r="V233" s="3" t="str">
        <f t="shared" si="34"/>
        <v/>
      </c>
      <c r="W233" s="34" t="str">
        <f t="shared" si="35"/>
        <v>0</v>
      </c>
    </row>
    <row r="234" spans="1:23" x14ac:dyDescent="0.35">
      <c r="A234" s="1">
        <v>232</v>
      </c>
      <c r="B234" s="15"/>
      <c r="C234" s="16"/>
      <c r="D234" s="16"/>
      <c r="E234" s="16"/>
      <c r="F234" s="3"/>
      <c r="G234" s="3"/>
      <c r="H234" s="3" t="e">
        <f t="shared" si="27"/>
        <v>#N/A</v>
      </c>
      <c r="I234" s="3" t="str">
        <f t="shared" si="28"/>
        <v>00</v>
      </c>
      <c r="J234" s="3" t="str">
        <f t="shared" si="29"/>
        <v>00</v>
      </c>
      <c r="K234" s="11" t="e">
        <f t="shared" si="33"/>
        <v>#N/A</v>
      </c>
      <c r="L234" s="14" t="e">
        <f t="shared" si="30"/>
        <v>#N/A</v>
      </c>
      <c r="M234" s="17" t="str">
        <f t="shared" si="31"/>
        <v/>
      </c>
      <c r="N234" s="18" t="str">
        <f t="shared" si="32"/>
        <v/>
      </c>
      <c r="O234" s="3"/>
      <c r="P234" s="3"/>
      <c r="T234" s="2" t="s">
        <v>141</v>
      </c>
      <c r="U234" s="19"/>
      <c r="V234" s="3" t="str">
        <f t="shared" si="34"/>
        <v/>
      </c>
      <c r="W234" s="34" t="str">
        <f t="shared" si="35"/>
        <v>0</v>
      </c>
    </row>
    <row r="235" spans="1:23" x14ac:dyDescent="0.35">
      <c r="A235" s="1">
        <v>233</v>
      </c>
      <c r="B235" s="15"/>
      <c r="C235" s="16"/>
      <c r="D235" s="16"/>
      <c r="E235" s="16"/>
      <c r="F235" s="3"/>
      <c r="G235" s="3"/>
      <c r="H235" s="3" t="e">
        <f t="shared" si="27"/>
        <v>#N/A</v>
      </c>
      <c r="I235" s="3" t="str">
        <f t="shared" si="28"/>
        <v>00</v>
      </c>
      <c r="J235" s="3" t="str">
        <f t="shared" si="29"/>
        <v>00</v>
      </c>
      <c r="K235" s="11" t="e">
        <f t="shared" si="33"/>
        <v>#N/A</v>
      </c>
      <c r="L235" s="14" t="e">
        <f t="shared" si="30"/>
        <v>#N/A</v>
      </c>
      <c r="M235" s="17" t="str">
        <f t="shared" si="31"/>
        <v/>
      </c>
      <c r="N235" s="18" t="str">
        <f t="shared" si="32"/>
        <v/>
      </c>
      <c r="O235" s="3"/>
      <c r="P235" s="3"/>
      <c r="T235" s="2" t="s">
        <v>141</v>
      </c>
      <c r="U235" s="19"/>
      <c r="V235" s="3" t="str">
        <f t="shared" si="34"/>
        <v/>
      </c>
      <c r="W235" s="34" t="str">
        <f t="shared" si="35"/>
        <v>0</v>
      </c>
    </row>
    <row r="236" spans="1:23" x14ac:dyDescent="0.35">
      <c r="A236" s="1">
        <v>234</v>
      </c>
      <c r="B236" s="15"/>
      <c r="C236" s="16"/>
      <c r="D236" s="16"/>
      <c r="E236" s="16"/>
      <c r="F236" s="3"/>
      <c r="G236" s="3"/>
      <c r="H236" s="3" t="e">
        <f t="shared" si="27"/>
        <v>#N/A</v>
      </c>
      <c r="I236" s="3" t="str">
        <f t="shared" si="28"/>
        <v>00</v>
      </c>
      <c r="J236" s="3" t="str">
        <f t="shared" si="29"/>
        <v>00</v>
      </c>
      <c r="K236" s="11" t="e">
        <f t="shared" si="33"/>
        <v>#N/A</v>
      </c>
      <c r="L236" s="14" t="e">
        <f t="shared" si="30"/>
        <v>#N/A</v>
      </c>
      <c r="M236" s="17" t="str">
        <f t="shared" si="31"/>
        <v/>
      </c>
      <c r="N236" s="18" t="str">
        <f t="shared" si="32"/>
        <v/>
      </c>
      <c r="O236" s="3"/>
      <c r="P236" s="3"/>
      <c r="T236" s="2" t="s">
        <v>141</v>
      </c>
      <c r="U236" s="19"/>
      <c r="V236" s="3" t="str">
        <f t="shared" si="34"/>
        <v/>
      </c>
      <c r="W236" s="34" t="str">
        <f t="shared" si="35"/>
        <v>0</v>
      </c>
    </row>
    <row r="237" spans="1:23" x14ac:dyDescent="0.35">
      <c r="A237" s="1">
        <v>235</v>
      </c>
      <c r="B237" s="15"/>
      <c r="C237" s="16"/>
      <c r="D237" s="16"/>
      <c r="E237" s="16"/>
      <c r="F237" s="3"/>
      <c r="G237" s="3"/>
      <c r="H237" s="3" t="e">
        <f t="shared" si="27"/>
        <v>#N/A</v>
      </c>
      <c r="I237" s="3" t="str">
        <f t="shared" si="28"/>
        <v>00</v>
      </c>
      <c r="J237" s="3" t="str">
        <f t="shared" si="29"/>
        <v>00</v>
      </c>
      <c r="K237" s="11" t="e">
        <f t="shared" si="33"/>
        <v>#N/A</v>
      </c>
      <c r="L237" s="14" t="e">
        <f t="shared" si="30"/>
        <v>#N/A</v>
      </c>
      <c r="M237" s="17" t="str">
        <f t="shared" si="31"/>
        <v/>
      </c>
      <c r="N237" s="18" t="str">
        <f t="shared" si="32"/>
        <v/>
      </c>
      <c r="O237" s="3"/>
      <c r="P237" s="3"/>
      <c r="T237" s="2" t="s">
        <v>141</v>
      </c>
      <c r="U237" s="19"/>
      <c r="V237" s="3" t="str">
        <f t="shared" si="34"/>
        <v/>
      </c>
      <c r="W237" s="34" t="str">
        <f t="shared" si="35"/>
        <v>0</v>
      </c>
    </row>
    <row r="238" spans="1:23" x14ac:dyDescent="0.35">
      <c r="A238" s="1">
        <v>236</v>
      </c>
      <c r="B238" s="15"/>
      <c r="C238" s="16"/>
      <c r="D238" s="16"/>
      <c r="E238" s="16"/>
      <c r="F238" s="3"/>
      <c r="G238" s="3"/>
      <c r="H238" s="3" t="e">
        <f t="shared" si="27"/>
        <v>#N/A</v>
      </c>
      <c r="I238" s="3" t="str">
        <f t="shared" si="28"/>
        <v>00</v>
      </c>
      <c r="J238" s="3" t="str">
        <f t="shared" si="29"/>
        <v>00</v>
      </c>
      <c r="K238" s="11" t="e">
        <f t="shared" si="33"/>
        <v>#N/A</v>
      </c>
      <c r="L238" s="14" t="e">
        <f t="shared" si="30"/>
        <v>#N/A</v>
      </c>
      <c r="M238" s="17" t="str">
        <f t="shared" si="31"/>
        <v/>
      </c>
      <c r="N238" s="18" t="str">
        <f t="shared" si="32"/>
        <v/>
      </c>
      <c r="O238" s="3"/>
      <c r="P238" s="3"/>
      <c r="T238" s="2" t="s">
        <v>141</v>
      </c>
      <c r="U238" s="19"/>
      <c r="V238" s="3" t="str">
        <f t="shared" si="34"/>
        <v/>
      </c>
      <c r="W238" s="34" t="str">
        <f t="shared" si="35"/>
        <v>0</v>
      </c>
    </row>
    <row r="239" spans="1:23" x14ac:dyDescent="0.35">
      <c r="A239" s="1">
        <v>237</v>
      </c>
      <c r="B239" s="15"/>
      <c r="C239" s="16"/>
      <c r="D239" s="16"/>
      <c r="E239" s="16"/>
      <c r="F239" s="3"/>
      <c r="G239" s="3"/>
      <c r="H239" s="3" t="e">
        <f t="shared" si="27"/>
        <v>#N/A</v>
      </c>
      <c r="I239" s="3" t="str">
        <f t="shared" si="28"/>
        <v>00</v>
      </c>
      <c r="J239" s="3" t="str">
        <f t="shared" si="29"/>
        <v>00</v>
      </c>
      <c r="K239" s="11" t="e">
        <f t="shared" si="33"/>
        <v>#N/A</v>
      </c>
      <c r="L239" s="14" t="e">
        <f t="shared" si="30"/>
        <v>#N/A</v>
      </c>
      <c r="M239" s="17" t="str">
        <f t="shared" si="31"/>
        <v/>
      </c>
      <c r="N239" s="18" t="str">
        <f t="shared" si="32"/>
        <v/>
      </c>
      <c r="O239" s="3"/>
      <c r="P239" s="3"/>
      <c r="T239" s="2" t="s">
        <v>141</v>
      </c>
      <c r="U239" s="19"/>
      <c r="V239" s="3" t="str">
        <f t="shared" si="34"/>
        <v/>
      </c>
      <c r="W239" s="34" t="str">
        <f t="shared" si="35"/>
        <v>0</v>
      </c>
    </row>
    <row r="240" spans="1:23" x14ac:dyDescent="0.35">
      <c r="A240" s="1">
        <v>238</v>
      </c>
      <c r="B240" s="15"/>
      <c r="C240" s="16"/>
      <c r="D240" s="16"/>
      <c r="E240" s="16"/>
      <c r="F240" s="3"/>
      <c r="G240" s="3"/>
      <c r="H240" s="3" t="e">
        <f t="shared" si="27"/>
        <v>#N/A</v>
      </c>
      <c r="I240" s="3" t="str">
        <f t="shared" si="28"/>
        <v>00</v>
      </c>
      <c r="J240" s="3" t="str">
        <f t="shared" si="29"/>
        <v>00</v>
      </c>
      <c r="K240" s="11" t="e">
        <f t="shared" si="33"/>
        <v>#N/A</v>
      </c>
      <c r="L240" s="14" t="e">
        <f t="shared" si="30"/>
        <v>#N/A</v>
      </c>
      <c r="M240" s="17" t="str">
        <f t="shared" si="31"/>
        <v/>
      </c>
      <c r="N240" s="18" t="str">
        <f t="shared" si="32"/>
        <v/>
      </c>
      <c r="O240" s="3"/>
      <c r="P240" s="3"/>
      <c r="T240" s="2" t="s">
        <v>141</v>
      </c>
      <c r="U240" s="19"/>
      <c r="V240" s="3" t="str">
        <f t="shared" si="34"/>
        <v/>
      </c>
      <c r="W240" s="34" t="str">
        <f t="shared" si="35"/>
        <v>0</v>
      </c>
    </row>
    <row r="241" spans="1:23" x14ac:dyDescent="0.35">
      <c r="A241" s="1">
        <v>239</v>
      </c>
      <c r="B241" s="15"/>
      <c r="C241" s="16"/>
      <c r="D241" s="16"/>
      <c r="E241" s="16"/>
      <c r="F241" s="3"/>
      <c r="G241" s="3"/>
      <c r="H241" s="3" t="e">
        <f t="shared" si="27"/>
        <v>#N/A</v>
      </c>
      <c r="I241" s="3" t="str">
        <f t="shared" si="28"/>
        <v>00</v>
      </c>
      <c r="J241" s="3" t="str">
        <f t="shared" si="29"/>
        <v>00</v>
      </c>
      <c r="K241" s="11" t="e">
        <f t="shared" si="33"/>
        <v>#N/A</v>
      </c>
      <c r="L241" s="14" t="e">
        <f t="shared" si="30"/>
        <v>#N/A</v>
      </c>
      <c r="M241" s="17" t="str">
        <f t="shared" si="31"/>
        <v/>
      </c>
      <c r="N241" s="18" t="str">
        <f t="shared" si="32"/>
        <v/>
      </c>
      <c r="O241" s="3"/>
      <c r="P241" s="3"/>
      <c r="T241" s="2" t="s">
        <v>141</v>
      </c>
      <c r="U241" s="19"/>
      <c r="V241" s="3" t="str">
        <f t="shared" si="34"/>
        <v/>
      </c>
      <c r="W241" s="34" t="str">
        <f t="shared" si="35"/>
        <v>0</v>
      </c>
    </row>
    <row r="242" spans="1:23" x14ac:dyDescent="0.35">
      <c r="A242" s="1">
        <v>240</v>
      </c>
      <c r="B242" s="15"/>
      <c r="C242" s="16"/>
      <c r="D242" s="16"/>
      <c r="E242" s="16"/>
      <c r="F242" s="3"/>
      <c r="G242" s="3"/>
      <c r="H242" s="3" t="e">
        <f t="shared" si="27"/>
        <v>#N/A</v>
      </c>
      <c r="I242" s="3" t="str">
        <f t="shared" si="28"/>
        <v>00</v>
      </c>
      <c r="J242" s="3" t="str">
        <f t="shared" si="29"/>
        <v>00</v>
      </c>
      <c r="K242" s="11" t="e">
        <f t="shared" si="33"/>
        <v>#N/A</v>
      </c>
      <c r="L242" s="14" t="e">
        <f t="shared" si="30"/>
        <v>#N/A</v>
      </c>
      <c r="M242" s="17" t="str">
        <f t="shared" si="31"/>
        <v/>
      </c>
      <c r="N242" s="18" t="str">
        <f t="shared" si="32"/>
        <v/>
      </c>
      <c r="O242" s="3"/>
      <c r="P242" s="3"/>
      <c r="T242" s="2" t="s">
        <v>141</v>
      </c>
      <c r="U242" s="19"/>
      <c r="V242" s="3" t="str">
        <f t="shared" si="34"/>
        <v/>
      </c>
      <c r="W242" s="34" t="str">
        <f t="shared" si="35"/>
        <v>0</v>
      </c>
    </row>
    <row r="243" spans="1:23" x14ac:dyDescent="0.35">
      <c r="A243" s="1">
        <v>241</v>
      </c>
      <c r="B243" s="15"/>
      <c r="C243" s="16"/>
      <c r="D243" s="16"/>
      <c r="E243" s="16"/>
      <c r="F243" s="3"/>
      <c r="G243" s="3"/>
      <c r="H243" s="3" t="e">
        <f t="shared" si="27"/>
        <v>#N/A</v>
      </c>
      <c r="I243" s="3" t="str">
        <f t="shared" si="28"/>
        <v>00</v>
      </c>
      <c r="J243" s="3" t="str">
        <f t="shared" si="29"/>
        <v>00</v>
      </c>
      <c r="K243" s="11" t="e">
        <f t="shared" si="33"/>
        <v>#N/A</v>
      </c>
      <c r="L243" s="14" t="e">
        <f t="shared" si="30"/>
        <v>#N/A</v>
      </c>
      <c r="M243" s="17" t="str">
        <f t="shared" si="31"/>
        <v/>
      </c>
      <c r="N243" s="18" t="str">
        <f t="shared" si="32"/>
        <v/>
      </c>
      <c r="O243" s="3"/>
      <c r="P243" s="3"/>
      <c r="T243" s="2" t="s">
        <v>141</v>
      </c>
      <c r="U243" s="19"/>
      <c r="V243" s="3" t="str">
        <f t="shared" si="34"/>
        <v/>
      </c>
      <c r="W243" s="34" t="str">
        <f t="shared" si="35"/>
        <v>0</v>
      </c>
    </row>
    <row r="244" spans="1:23" x14ac:dyDescent="0.35">
      <c r="A244" s="1">
        <v>242</v>
      </c>
      <c r="B244" s="15"/>
      <c r="C244" s="16"/>
      <c r="D244" s="16"/>
      <c r="E244" s="16"/>
      <c r="F244" s="3"/>
      <c r="G244" s="3"/>
      <c r="H244" s="3" t="e">
        <f t="shared" si="27"/>
        <v>#N/A</v>
      </c>
      <c r="I244" s="3" t="str">
        <f t="shared" si="28"/>
        <v>00</v>
      </c>
      <c r="J244" s="3" t="str">
        <f t="shared" si="29"/>
        <v>00</v>
      </c>
      <c r="K244" s="11" t="e">
        <f t="shared" si="33"/>
        <v>#N/A</v>
      </c>
      <c r="L244" s="14" t="e">
        <f t="shared" si="30"/>
        <v>#N/A</v>
      </c>
      <c r="M244" s="17" t="str">
        <f t="shared" si="31"/>
        <v/>
      </c>
      <c r="N244" s="18" t="str">
        <f t="shared" si="32"/>
        <v/>
      </c>
      <c r="O244" s="3"/>
      <c r="P244" s="3"/>
      <c r="T244" s="2" t="s">
        <v>141</v>
      </c>
      <c r="U244" s="19"/>
      <c r="V244" s="3" t="str">
        <f t="shared" si="34"/>
        <v/>
      </c>
      <c r="W244" s="34" t="str">
        <f t="shared" si="35"/>
        <v>0</v>
      </c>
    </row>
    <row r="245" spans="1:23" x14ac:dyDescent="0.35">
      <c r="A245" s="1">
        <v>243</v>
      </c>
      <c r="B245" s="15"/>
      <c r="C245" s="16"/>
      <c r="D245" s="16"/>
      <c r="E245" s="16"/>
      <c r="F245" s="3"/>
      <c r="G245" s="3"/>
      <c r="H245" s="3" t="e">
        <f t="shared" si="27"/>
        <v>#N/A</v>
      </c>
      <c r="I245" s="3" t="str">
        <f t="shared" si="28"/>
        <v>00</v>
      </c>
      <c r="J245" s="3" t="str">
        <f t="shared" si="29"/>
        <v>00</v>
      </c>
      <c r="K245" s="11" t="e">
        <f t="shared" si="33"/>
        <v>#N/A</v>
      </c>
      <c r="L245" s="14" t="e">
        <f t="shared" si="30"/>
        <v>#N/A</v>
      </c>
      <c r="M245" s="17" t="str">
        <f t="shared" si="31"/>
        <v/>
      </c>
      <c r="N245" s="18" t="str">
        <f t="shared" si="32"/>
        <v/>
      </c>
      <c r="O245" s="3"/>
      <c r="P245" s="3"/>
      <c r="T245" s="2" t="s">
        <v>141</v>
      </c>
      <c r="U245" s="19"/>
      <c r="V245" s="3" t="str">
        <f t="shared" si="34"/>
        <v/>
      </c>
      <c r="W245" s="34" t="str">
        <f t="shared" si="35"/>
        <v>0</v>
      </c>
    </row>
    <row r="246" spans="1:23" x14ac:dyDescent="0.35">
      <c r="A246" s="1">
        <v>244</v>
      </c>
      <c r="B246" s="15"/>
      <c r="C246" s="16"/>
      <c r="D246" s="16"/>
      <c r="E246" s="16"/>
      <c r="F246" s="3"/>
      <c r="G246" s="3"/>
      <c r="H246" s="3" t="e">
        <f t="shared" si="27"/>
        <v>#N/A</v>
      </c>
      <c r="I246" s="3" t="str">
        <f t="shared" si="28"/>
        <v>00</v>
      </c>
      <c r="J246" s="3" t="str">
        <f t="shared" si="29"/>
        <v>00</v>
      </c>
      <c r="K246" s="11" t="e">
        <f t="shared" si="33"/>
        <v>#N/A</v>
      </c>
      <c r="L246" s="14" t="e">
        <f t="shared" si="30"/>
        <v>#N/A</v>
      </c>
      <c r="M246" s="17" t="str">
        <f t="shared" si="31"/>
        <v/>
      </c>
      <c r="N246" s="18" t="str">
        <f t="shared" si="32"/>
        <v/>
      </c>
      <c r="O246" s="3"/>
      <c r="P246" s="3"/>
      <c r="T246" s="2" t="s">
        <v>141</v>
      </c>
      <c r="U246" s="19"/>
      <c r="V246" s="3" t="str">
        <f t="shared" si="34"/>
        <v/>
      </c>
      <c r="W246" s="34" t="str">
        <f t="shared" si="35"/>
        <v>0</v>
      </c>
    </row>
    <row r="247" spans="1:23" x14ac:dyDescent="0.35">
      <c r="A247" s="1">
        <v>245</v>
      </c>
      <c r="B247" s="15"/>
      <c r="C247" s="16"/>
      <c r="D247" s="16"/>
      <c r="E247" s="16"/>
      <c r="F247" s="3"/>
      <c r="G247" s="3"/>
      <c r="H247" s="3" t="e">
        <f t="shared" si="27"/>
        <v>#N/A</v>
      </c>
      <c r="I247" s="3" t="str">
        <f t="shared" si="28"/>
        <v>00</v>
      </c>
      <c r="J247" s="3" t="str">
        <f t="shared" si="29"/>
        <v>00</v>
      </c>
      <c r="K247" s="11" t="e">
        <f t="shared" si="33"/>
        <v>#N/A</v>
      </c>
      <c r="L247" s="14" t="e">
        <f t="shared" si="30"/>
        <v>#N/A</v>
      </c>
      <c r="M247" s="17" t="str">
        <f t="shared" si="31"/>
        <v/>
      </c>
      <c r="N247" s="18" t="str">
        <f t="shared" si="32"/>
        <v/>
      </c>
      <c r="O247" s="3"/>
      <c r="P247" s="3"/>
      <c r="T247" s="2" t="s">
        <v>141</v>
      </c>
      <c r="U247" s="19"/>
      <c r="V247" s="3" t="str">
        <f t="shared" si="34"/>
        <v/>
      </c>
      <c r="W247" s="34" t="str">
        <f t="shared" si="35"/>
        <v>0</v>
      </c>
    </row>
    <row r="248" spans="1:23" x14ac:dyDescent="0.35">
      <c r="A248" s="1">
        <v>246</v>
      </c>
      <c r="B248" s="15"/>
      <c r="C248" s="16"/>
      <c r="D248" s="16"/>
      <c r="E248" s="16"/>
      <c r="F248" s="3"/>
      <c r="G248" s="3"/>
      <c r="H248" s="3" t="e">
        <f t="shared" si="27"/>
        <v>#N/A</v>
      </c>
      <c r="I248" s="3" t="str">
        <f t="shared" si="28"/>
        <v>00</v>
      </c>
      <c r="J248" s="3" t="str">
        <f t="shared" si="29"/>
        <v>00</v>
      </c>
      <c r="K248" s="11" t="e">
        <f t="shared" si="33"/>
        <v>#N/A</v>
      </c>
      <c r="L248" s="14" t="e">
        <f t="shared" si="30"/>
        <v>#N/A</v>
      </c>
      <c r="M248" s="17" t="str">
        <f t="shared" si="31"/>
        <v/>
      </c>
      <c r="N248" s="18" t="str">
        <f t="shared" si="32"/>
        <v/>
      </c>
      <c r="O248" s="3"/>
      <c r="P248" s="3"/>
      <c r="T248" s="2" t="s">
        <v>141</v>
      </c>
      <c r="U248" s="19"/>
      <c r="V248" s="3" t="str">
        <f t="shared" si="34"/>
        <v/>
      </c>
      <c r="W248" s="34" t="str">
        <f t="shared" si="35"/>
        <v>0</v>
      </c>
    </row>
    <row r="249" spans="1:23" x14ac:dyDescent="0.35">
      <c r="A249" s="1">
        <v>247</v>
      </c>
      <c r="B249" s="15"/>
      <c r="C249" s="16"/>
      <c r="D249" s="16"/>
      <c r="E249" s="16"/>
      <c r="F249" s="3"/>
      <c r="G249" s="3"/>
      <c r="H249" s="3" t="e">
        <f t="shared" si="27"/>
        <v>#N/A</v>
      </c>
      <c r="I249" s="3" t="str">
        <f t="shared" si="28"/>
        <v>00</v>
      </c>
      <c r="J249" s="3" t="str">
        <f t="shared" si="29"/>
        <v>00</v>
      </c>
      <c r="K249" s="11" t="e">
        <f t="shared" si="33"/>
        <v>#N/A</v>
      </c>
      <c r="L249" s="14" t="e">
        <f t="shared" si="30"/>
        <v>#N/A</v>
      </c>
      <c r="M249" s="17" t="str">
        <f t="shared" si="31"/>
        <v/>
      </c>
      <c r="N249" s="18" t="str">
        <f t="shared" si="32"/>
        <v/>
      </c>
      <c r="O249" s="3"/>
      <c r="P249" s="3"/>
      <c r="T249" s="2" t="s">
        <v>141</v>
      </c>
      <c r="U249" s="19"/>
      <c r="V249" s="3" t="str">
        <f t="shared" si="34"/>
        <v/>
      </c>
      <c r="W249" s="34" t="str">
        <f t="shared" si="35"/>
        <v>0</v>
      </c>
    </row>
    <row r="250" spans="1:23" x14ac:dyDescent="0.35">
      <c r="A250" s="1">
        <v>248</v>
      </c>
      <c r="B250" s="15"/>
      <c r="C250" s="16"/>
      <c r="D250" s="16"/>
      <c r="E250" s="16"/>
      <c r="F250" s="3"/>
      <c r="G250" s="3"/>
      <c r="H250" s="3" t="e">
        <f t="shared" si="27"/>
        <v>#N/A</v>
      </c>
      <c r="I250" s="3" t="str">
        <f t="shared" si="28"/>
        <v>00</v>
      </c>
      <c r="J250" s="3" t="str">
        <f t="shared" si="29"/>
        <v>00</v>
      </c>
      <c r="K250" s="11" t="e">
        <f t="shared" si="33"/>
        <v>#N/A</v>
      </c>
      <c r="L250" s="14" t="e">
        <f t="shared" si="30"/>
        <v>#N/A</v>
      </c>
      <c r="M250" s="17" t="str">
        <f t="shared" si="31"/>
        <v/>
      </c>
      <c r="N250" s="18" t="str">
        <f t="shared" si="32"/>
        <v/>
      </c>
      <c r="O250" s="3"/>
      <c r="P250" s="3"/>
      <c r="T250" s="2" t="s">
        <v>141</v>
      </c>
      <c r="U250" s="19"/>
      <c r="V250" s="3" t="str">
        <f t="shared" si="34"/>
        <v/>
      </c>
      <c r="W250" s="34" t="str">
        <f t="shared" si="35"/>
        <v>0</v>
      </c>
    </row>
    <row r="251" spans="1:23" x14ac:dyDescent="0.35">
      <c r="A251" s="1">
        <v>249</v>
      </c>
      <c r="B251" s="15"/>
      <c r="C251" s="16"/>
      <c r="D251" s="16"/>
      <c r="E251" s="16"/>
      <c r="F251" s="3"/>
      <c r="G251" s="3"/>
      <c r="H251" s="3" t="e">
        <f t="shared" si="27"/>
        <v>#N/A</v>
      </c>
      <c r="I251" s="3" t="str">
        <f t="shared" si="28"/>
        <v>00</v>
      </c>
      <c r="J251" s="3" t="str">
        <f t="shared" si="29"/>
        <v>00</v>
      </c>
      <c r="K251" s="11" t="e">
        <f t="shared" si="33"/>
        <v>#N/A</v>
      </c>
      <c r="L251" s="14" t="e">
        <f t="shared" si="30"/>
        <v>#N/A</v>
      </c>
      <c r="M251" s="17" t="str">
        <f t="shared" si="31"/>
        <v/>
      </c>
      <c r="N251" s="18" t="str">
        <f t="shared" si="32"/>
        <v/>
      </c>
      <c r="O251" s="3"/>
      <c r="P251" s="3"/>
      <c r="T251" s="2" t="s">
        <v>141</v>
      </c>
      <c r="U251" s="19"/>
      <c r="V251" s="3" t="str">
        <f t="shared" si="34"/>
        <v/>
      </c>
      <c r="W251" s="34" t="str">
        <f t="shared" si="35"/>
        <v>0</v>
      </c>
    </row>
    <row r="252" spans="1:23" x14ac:dyDescent="0.35">
      <c r="A252" s="1">
        <v>250</v>
      </c>
      <c r="B252" s="15"/>
      <c r="C252" s="16"/>
      <c r="D252" s="16"/>
      <c r="E252" s="16"/>
      <c r="F252" s="3"/>
      <c r="G252" s="3"/>
      <c r="H252" s="3" t="e">
        <f t="shared" si="27"/>
        <v>#N/A</v>
      </c>
      <c r="I252" s="3" t="str">
        <f t="shared" si="28"/>
        <v>00</v>
      </c>
      <c r="J252" s="3" t="str">
        <f t="shared" si="29"/>
        <v>00</v>
      </c>
      <c r="K252" s="11" t="e">
        <f t="shared" si="33"/>
        <v>#N/A</v>
      </c>
      <c r="L252" s="14" t="e">
        <f t="shared" si="30"/>
        <v>#N/A</v>
      </c>
      <c r="M252" s="17" t="str">
        <f t="shared" si="31"/>
        <v/>
      </c>
      <c r="N252" s="18" t="str">
        <f t="shared" si="32"/>
        <v/>
      </c>
      <c r="O252" s="3"/>
      <c r="P252" s="3"/>
      <c r="T252" s="2" t="s">
        <v>141</v>
      </c>
      <c r="U252" s="19"/>
      <c r="V252" s="3" t="str">
        <f t="shared" si="34"/>
        <v/>
      </c>
      <c r="W252" s="34" t="str">
        <f t="shared" si="35"/>
        <v>0</v>
      </c>
    </row>
    <row r="253" spans="1:23" x14ac:dyDescent="0.35">
      <c r="A253" s="1">
        <v>251</v>
      </c>
      <c r="B253" s="15"/>
      <c r="C253" s="16"/>
      <c r="D253" s="16"/>
      <c r="E253" s="16"/>
      <c r="F253" s="3"/>
      <c r="G253" s="3"/>
      <c r="H253" s="3" t="e">
        <f t="shared" si="27"/>
        <v>#N/A</v>
      </c>
      <c r="I253" s="3" t="str">
        <f t="shared" si="28"/>
        <v>00</v>
      </c>
      <c r="J253" s="3" t="str">
        <f t="shared" si="29"/>
        <v>00</v>
      </c>
      <c r="K253" s="11" t="e">
        <f t="shared" si="33"/>
        <v>#N/A</v>
      </c>
      <c r="L253" s="14" t="e">
        <f t="shared" si="30"/>
        <v>#N/A</v>
      </c>
      <c r="M253" s="17" t="str">
        <f t="shared" si="31"/>
        <v/>
      </c>
      <c r="N253" s="18" t="str">
        <f t="shared" si="32"/>
        <v/>
      </c>
      <c r="O253" s="3"/>
      <c r="P253" s="3"/>
      <c r="T253" s="2" t="s">
        <v>141</v>
      </c>
      <c r="U253" s="19"/>
      <c r="V253" s="3" t="str">
        <f t="shared" si="34"/>
        <v/>
      </c>
      <c r="W253" s="34" t="str">
        <f t="shared" si="35"/>
        <v>0</v>
      </c>
    </row>
    <row r="254" spans="1:23" x14ac:dyDescent="0.35">
      <c r="A254" s="1">
        <v>252</v>
      </c>
      <c r="B254" s="15"/>
      <c r="C254" s="16"/>
      <c r="D254" s="16"/>
      <c r="E254" s="16"/>
      <c r="F254" s="3"/>
      <c r="G254" s="3"/>
      <c r="H254" s="3" t="e">
        <f t="shared" si="27"/>
        <v>#N/A</v>
      </c>
      <c r="I254" s="3" t="str">
        <f t="shared" si="28"/>
        <v>00</v>
      </c>
      <c r="J254" s="3" t="str">
        <f t="shared" si="29"/>
        <v>00</v>
      </c>
      <c r="K254" s="11" t="e">
        <f t="shared" si="33"/>
        <v>#N/A</v>
      </c>
      <c r="L254" s="14" t="e">
        <f t="shared" si="30"/>
        <v>#N/A</v>
      </c>
      <c r="M254" s="17" t="str">
        <f t="shared" si="31"/>
        <v/>
      </c>
      <c r="N254" s="18" t="str">
        <f t="shared" si="32"/>
        <v/>
      </c>
      <c r="O254" s="3"/>
      <c r="P254" s="3"/>
      <c r="T254" s="2" t="s">
        <v>141</v>
      </c>
      <c r="U254" s="19"/>
      <c r="V254" s="3" t="str">
        <f t="shared" si="34"/>
        <v/>
      </c>
      <c r="W254" s="34" t="str">
        <f t="shared" si="35"/>
        <v>0</v>
      </c>
    </row>
    <row r="255" spans="1:23" x14ac:dyDescent="0.35">
      <c r="A255" s="1">
        <v>253</v>
      </c>
      <c r="B255" s="15"/>
      <c r="C255" s="16"/>
      <c r="D255" s="16"/>
      <c r="E255" s="16"/>
      <c r="F255" s="3"/>
      <c r="G255" s="3"/>
      <c r="H255" s="3" t="e">
        <f t="shared" si="27"/>
        <v>#N/A</v>
      </c>
      <c r="I255" s="3" t="str">
        <f t="shared" si="28"/>
        <v>00</v>
      </c>
      <c r="J255" s="3" t="str">
        <f t="shared" si="29"/>
        <v>00</v>
      </c>
      <c r="K255" s="11" t="e">
        <f t="shared" si="33"/>
        <v>#N/A</v>
      </c>
      <c r="L255" s="14" t="e">
        <f t="shared" si="30"/>
        <v>#N/A</v>
      </c>
      <c r="M255" s="17" t="str">
        <f t="shared" si="31"/>
        <v/>
      </c>
      <c r="N255" s="18" t="str">
        <f t="shared" si="32"/>
        <v/>
      </c>
      <c r="O255" s="3"/>
      <c r="P255" s="3"/>
      <c r="T255" s="2" t="s">
        <v>141</v>
      </c>
      <c r="U255" s="19"/>
      <c r="V255" s="3" t="str">
        <f t="shared" si="34"/>
        <v/>
      </c>
      <c r="W255" s="34" t="str">
        <f t="shared" si="35"/>
        <v>0</v>
      </c>
    </row>
    <row r="256" spans="1:23" x14ac:dyDescent="0.35">
      <c r="A256" s="1">
        <v>254</v>
      </c>
      <c r="B256" s="15"/>
      <c r="C256" s="16"/>
      <c r="D256" s="16"/>
      <c r="E256" s="16"/>
      <c r="F256" s="3"/>
      <c r="G256" s="3"/>
      <c r="H256" s="3" t="e">
        <f t="shared" si="27"/>
        <v>#N/A</v>
      </c>
      <c r="I256" s="3" t="str">
        <f t="shared" si="28"/>
        <v>00</v>
      </c>
      <c r="J256" s="3" t="str">
        <f t="shared" si="29"/>
        <v>00</v>
      </c>
      <c r="K256" s="11" t="e">
        <f t="shared" si="33"/>
        <v>#N/A</v>
      </c>
      <c r="L256" s="14" t="e">
        <f t="shared" si="30"/>
        <v>#N/A</v>
      </c>
      <c r="M256" s="17" t="str">
        <f t="shared" si="31"/>
        <v/>
      </c>
      <c r="N256" s="18" t="str">
        <f t="shared" si="32"/>
        <v/>
      </c>
      <c r="O256" s="3"/>
      <c r="P256" s="3"/>
      <c r="T256" s="2" t="s">
        <v>141</v>
      </c>
      <c r="U256" s="19"/>
      <c r="V256" s="3" t="str">
        <f t="shared" si="34"/>
        <v/>
      </c>
      <c r="W256" s="34" t="str">
        <f t="shared" si="35"/>
        <v>0</v>
      </c>
    </row>
    <row r="257" spans="1:23" x14ac:dyDescent="0.35">
      <c r="A257" s="21">
        <v>255</v>
      </c>
      <c r="B257" s="22"/>
      <c r="C257" s="23"/>
      <c r="D257" s="23"/>
      <c r="E257" s="23"/>
      <c r="F257" s="24"/>
      <c r="G257" s="24"/>
      <c r="H257" s="3" t="e">
        <f t="shared" si="27"/>
        <v>#N/A</v>
      </c>
      <c r="I257" s="3" t="str">
        <f t="shared" si="28"/>
        <v>00</v>
      </c>
      <c r="J257" s="3" t="str">
        <f t="shared" si="29"/>
        <v>00</v>
      </c>
      <c r="K257" s="25" t="e">
        <f t="shared" si="33"/>
        <v>#N/A</v>
      </c>
      <c r="L257" s="26" t="e">
        <f t="shared" si="30"/>
        <v>#N/A</v>
      </c>
      <c r="M257" s="27" t="str">
        <f t="shared" si="31"/>
        <v/>
      </c>
      <c r="N257" s="18" t="str">
        <f t="shared" si="32"/>
        <v/>
      </c>
      <c r="O257" s="24"/>
      <c r="P257" s="24"/>
      <c r="T257" s="2" t="s">
        <v>141</v>
      </c>
      <c r="U257" s="28"/>
      <c r="V257" s="24" t="str">
        <f t="shared" si="34"/>
        <v/>
      </c>
      <c r="W257" s="34" t="str">
        <f t="shared" si="35"/>
        <v>0</v>
      </c>
    </row>
    <row r="258" spans="1:23" x14ac:dyDescent="0.35">
      <c r="A258" s="1"/>
      <c r="B258" s="15"/>
      <c r="C258" s="16"/>
      <c r="D258" s="16"/>
      <c r="E258" s="16"/>
      <c r="F258" s="3"/>
      <c r="G258" s="3"/>
      <c r="H258" s="3" t="e">
        <f t="shared" si="27"/>
        <v>#N/A</v>
      </c>
      <c r="I258" s="3" t="str">
        <f t="shared" si="28"/>
        <v>00</v>
      </c>
      <c r="J258" s="3" t="str">
        <f t="shared" si="29"/>
        <v>00</v>
      </c>
      <c r="K258" s="11" t="e">
        <f t="shared" si="33"/>
        <v>#N/A</v>
      </c>
      <c r="L258" s="14" t="e">
        <f t="shared" si="30"/>
        <v>#N/A</v>
      </c>
      <c r="M258" s="17" t="str">
        <f t="shared" si="31"/>
        <v/>
      </c>
      <c r="N258" s="18" t="str">
        <f t="shared" si="32"/>
        <v/>
      </c>
      <c r="O258" s="3"/>
      <c r="P258" s="3"/>
      <c r="Q258" s="31"/>
      <c r="R258" s="32"/>
      <c r="S258" s="3"/>
      <c r="T258" s="3" t="s">
        <v>141</v>
      </c>
      <c r="U258" s="19"/>
      <c r="V258" s="3" t="str">
        <f t="shared" si="34"/>
        <v/>
      </c>
      <c r="W258" s="34" t="str">
        <f t="shared" si="35"/>
        <v>0</v>
      </c>
    </row>
    <row r="259" spans="1:23" x14ac:dyDescent="0.35">
      <c r="B259" s="29"/>
      <c r="C259" s="30"/>
      <c r="D259" s="30"/>
      <c r="E259" s="20"/>
      <c r="T259" s="2" t="s">
        <v>141</v>
      </c>
      <c r="V259" s="3"/>
      <c r="W259" s="34"/>
    </row>
    <row r="260" spans="1:23" x14ac:dyDescent="0.35">
      <c r="B260" s="29"/>
      <c r="C260" s="30"/>
      <c r="D260" s="30"/>
      <c r="E260" s="20"/>
      <c r="T260" s="2" t="s">
        <v>141</v>
      </c>
    </row>
    <row r="261" spans="1:23" x14ac:dyDescent="0.35">
      <c r="B261" s="29"/>
      <c r="C261" s="30"/>
      <c r="D261" s="30"/>
      <c r="E261" s="20"/>
      <c r="T261" s="2" t="s">
        <v>141</v>
      </c>
    </row>
    <row r="262" spans="1:23" x14ac:dyDescent="0.35">
      <c r="B262" s="29"/>
      <c r="C262" s="30"/>
      <c r="D262" s="30"/>
      <c r="E262" s="20"/>
      <c r="T262" s="2" t="s">
        <v>141</v>
      </c>
    </row>
    <row r="263" spans="1:23" x14ac:dyDescent="0.35">
      <c r="B263" s="29"/>
      <c r="C263" s="30"/>
      <c r="D263" s="30"/>
      <c r="E263" s="20"/>
      <c r="T263" s="2" t="s">
        <v>141</v>
      </c>
    </row>
    <row r="264" spans="1:23" x14ac:dyDescent="0.35">
      <c r="B264" s="29"/>
      <c r="C264" s="30"/>
      <c r="D264" s="30"/>
      <c r="E264" s="20"/>
      <c r="T264" s="2" t="s">
        <v>141</v>
      </c>
    </row>
    <row r="265" spans="1:23" x14ac:dyDescent="0.35">
      <c r="B265" s="29"/>
      <c r="C265" s="30"/>
      <c r="D265" s="30"/>
      <c r="E265" s="20"/>
      <c r="T265" s="2" t="s">
        <v>141</v>
      </c>
    </row>
    <row r="266" spans="1:23" x14ac:dyDescent="0.35">
      <c r="B266" s="29"/>
      <c r="C266" s="30"/>
      <c r="D266" s="30"/>
      <c r="E266" s="20"/>
      <c r="T266" s="2" t="s">
        <v>141</v>
      </c>
    </row>
    <row r="267" spans="1:23" x14ac:dyDescent="0.35">
      <c r="B267" s="29"/>
      <c r="C267" s="30"/>
      <c r="D267" s="30"/>
      <c r="E267" s="20"/>
      <c r="T267" s="2" t="s">
        <v>141</v>
      </c>
    </row>
    <row r="268" spans="1:23" x14ac:dyDescent="0.35">
      <c r="B268" s="29"/>
      <c r="C268" s="30"/>
      <c r="D268" s="30"/>
      <c r="E268" s="20"/>
      <c r="T268" s="2" t="s">
        <v>141</v>
      </c>
    </row>
    <row r="269" spans="1:23" x14ac:dyDescent="0.35">
      <c r="B269" s="29"/>
      <c r="C269" s="30"/>
      <c r="D269" s="30"/>
      <c r="E269" s="20"/>
      <c r="T269" s="2" t="s">
        <v>141</v>
      </c>
    </row>
    <row r="270" spans="1:23" x14ac:dyDescent="0.35">
      <c r="B270" s="29"/>
      <c r="C270" s="30"/>
      <c r="D270" s="30"/>
      <c r="E270" s="20"/>
      <c r="T270" s="2" t="s">
        <v>141</v>
      </c>
    </row>
    <row r="271" spans="1:23" x14ac:dyDescent="0.35">
      <c r="B271" s="29"/>
      <c r="C271" s="30"/>
      <c r="D271" s="30"/>
      <c r="E271" s="20"/>
      <c r="T271" s="2" t="s">
        <v>141</v>
      </c>
    </row>
    <row r="272" spans="1:23" x14ac:dyDescent="0.35">
      <c r="T272" s="2" t="s">
        <v>141</v>
      </c>
    </row>
    <row r="273" spans="20:20" x14ac:dyDescent="0.35">
      <c r="T273" s="2" t="s">
        <v>141</v>
      </c>
    </row>
    <row r="274" spans="20:20" x14ac:dyDescent="0.35">
      <c r="T274" s="2" t="s">
        <v>141</v>
      </c>
    </row>
    <row r="275" spans="20:20" x14ac:dyDescent="0.35">
      <c r="T275" s="2" t="s">
        <v>141</v>
      </c>
    </row>
    <row r="276" spans="20:20" x14ac:dyDescent="0.35">
      <c r="T276" s="2" t="s">
        <v>141</v>
      </c>
    </row>
    <row r="277" spans="20:20" x14ac:dyDescent="0.35">
      <c r="T277" s="2" t="s">
        <v>141</v>
      </c>
    </row>
    <row r="278" spans="20:20" x14ac:dyDescent="0.35">
      <c r="T278" s="2" t="s">
        <v>141</v>
      </c>
    </row>
    <row r="279" spans="20:20" x14ac:dyDescent="0.35">
      <c r="T279" s="2" t="s">
        <v>141</v>
      </c>
    </row>
    <row r="280" spans="20:20" x14ac:dyDescent="0.35">
      <c r="T280" s="2" t="s">
        <v>141</v>
      </c>
    </row>
    <row r="281" spans="20:20" x14ac:dyDescent="0.35">
      <c r="T281" s="2" t="s">
        <v>141</v>
      </c>
    </row>
    <row r="282" spans="20:20" x14ac:dyDescent="0.35">
      <c r="T282" s="2" t="s">
        <v>141</v>
      </c>
    </row>
    <row r="283" spans="20:20" x14ac:dyDescent="0.35">
      <c r="T283" s="2" t="s">
        <v>141</v>
      </c>
    </row>
    <row r="284" spans="20:20" x14ac:dyDescent="0.35">
      <c r="T284" s="2" t="s">
        <v>141</v>
      </c>
    </row>
    <row r="285" spans="20:20" x14ac:dyDescent="0.35">
      <c r="T285" s="2" t="s">
        <v>141</v>
      </c>
    </row>
    <row r="286" spans="20:20" x14ac:dyDescent="0.35">
      <c r="T286" s="2" t="s">
        <v>141</v>
      </c>
    </row>
    <row r="287" spans="20:20" x14ac:dyDescent="0.35">
      <c r="T287" s="2" t="s">
        <v>141</v>
      </c>
    </row>
    <row r="288" spans="20:20" x14ac:dyDescent="0.35">
      <c r="T288" s="2" t="s">
        <v>141</v>
      </c>
    </row>
    <row r="289" spans="20:20" x14ac:dyDescent="0.35">
      <c r="T289" s="2" t="s">
        <v>141</v>
      </c>
    </row>
    <row r="290" spans="20:20" x14ac:dyDescent="0.35">
      <c r="T290" s="2" t="s">
        <v>141</v>
      </c>
    </row>
    <row r="291" spans="20:20" x14ac:dyDescent="0.35">
      <c r="T291" s="2" t="s">
        <v>141</v>
      </c>
    </row>
    <row r="292" spans="20:20" x14ac:dyDescent="0.35">
      <c r="T292" s="2" t="s">
        <v>141</v>
      </c>
    </row>
    <row r="293" spans="20:20" x14ac:dyDescent="0.35">
      <c r="T293" s="2" t="s">
        <v>141</v>
      </c>
    </row>
    <row r="294" spans="20:20" x14ac:dyDescent="0.35">
      <c r="T294" s="2" t="s">
        <v>141</v>
      </c>
    </row>
    <row r="295" spans="20:20" x14ac:dyDescent="0.35">
      <c r="T295" s="2" t="s">
        <v>141</v>
      </c>
    </row>
    <row r="296" spans="20:20" x14ac:dyDescent="0.35">
      <c r="T296" s="2" t="s">
        <v>141</v>
      </c>
    </row>
    <row r="297" spans="20:20" x14ac:dyDescent="0.35">
      <c r="T297" s="2" t="s">
        <v>141</v>
      </c>
    </row>
    <row r="298" spans="20:20" x14ac:dyDescent="0.35">
      <c r="T298" s="2" t="s">
        <v>141</v>
      </c>
    </row>
    <row r="299" spans="20:20" x14ac:dyDescent="0.35">
      <c r="T299" s="2" t="s">
        <v>141</v>
      </c>
    </row>
    <row r="300" spans="20:20" x14ac:dyDescent="0.35">
      <c r="T300" s="2" t="s">
        <v>141</v>
      </c>
    </row>
    <row r="301" spans="20:20" x14ac:dyDescent="0.35">
      <c r="T301" s="2" t="s">
        <v>141</v>
      </c>
    </row>
    <row r="302" spans="20:20" x14ac:dyDescent="0.35">
      <c r="T302" s="2" t="s">
        <v>141</v>
      </c>
    </row>
    <row r="303" spans="20:20" x14ac:dyDescent="0.35">
      <c r="T303" s="2" t="s">
        <v>141</v>
      </c>
    </row>
    <row r="304" spans="20:20" x14ac:dyDescent="0.35">
      <c r="T304" s="2" t="s">
        <v>141</v>
      </c>
    </row>
    <row r="305" spans="20:20" x14ac:dyDescent="0.35">
      <c r="T305" s="2" t="s">
        <v>141</v>
      </c>
    </row>
    <row r="306" spans="20:20" x14ac:dyDescent="0.35">
      <c r="T306" s="2" t="s">
        <v>141</v>
      </c>
    </row>
    <row r="307" spans="20:20" x14ac:dyDescent="0.35">
      <c r="T307" s="2" t="s">
        <v>141</v>
      </c>
    </row>
    <row r="308" spans="20:20" x14ac:dyDescent="0.35">
      <c r="T308" s="2" t="s">
        <v>141</v>
      </c>
    </row>
    <row r="309" spans="20:20" x14ac:dyDescent="0.35">
      <c r="T309" s="2" t="s">
        <v>141</v>
      </c>
    </row>
    <row r="310" spans="20:20" x14ac:dyDescent="0.35">
      <c r="T310" s="2" t="s">
        <v>141</v>
      </c>
    </row>
    <row r="311" spans="20:20" x14ac:dyDescent="0.35">
      <c r="T311" s="2" t="s">
        <v>141</v>
      </c>
    </row>
    <row r="312" spans="20:20" x14ac:dyDescent="0.35">
      <c r="T312" s="2" t="s">
        <v>141</v>
      </c>
    </row>
    <row r="313" spans="20:20" x14ac:dyDescent="0.35">
      <c r="T313" s="2" t="s">
        <v>141</v>
      </c>
    </row>
    <row r="314" spans="20:20" x14ac:dyDescent="0.35">
      <c r="T314" s="2" t="s">
        <v>141</v>
      </c>
    </row>
    <row r="315" spans="20:20" x14ac:dyDescent="0.35">
      <c r="T315" s="2" t="s">
        <v>141</v>
      </c>
    </row>
    <row r="316" spans="20:20" x14ac:dyDescent="0.35">
      <c r="T316" s="2" t="s">
        <v>141</v>
      </c>
    </row>
    <row r="317" spans="20:20" x14ac:dyDescent="0.35">
      <c r="T317" s="2" t="s">
        <v>141</v>
      </c>
    </row>
    <row r="318" spans="20:20" x14ac:dyDescent="0.35">
      <c r="T318" s="2" t="s">
        <v>141</v>
      </c>
    </row>
    <row r="319" spans="20:20" x14ac:dyDescent="0.35">
      <c r="T319" s="2" t="s">
        <v>141</v>
      </c>
    </row>
    <row r="320" spans="20:20" x14ac:dyDescent="0.35">
      <c r="T320" s="2" t="s">
        <v>141</v>
      </c>
    </row>
    <row r="321" spans="20:20" x14ac:dyDescent="0.35">
      <c r="T321" s="2" t="s">
        <v>141</v>
      </c>
    </row>
    <row r="322" spans="20:20" x14ac:dyDescent="0.35">
      <c r="T322" s="2" t="s">
        <v>141</v>
      </c>
    </row>
    <row r="323" spans="20:20" x14ac:dyDescent="0.35">
      <c r="T323" s="2" t="s">
        <v>141</v>
      </c>
    </row>
    <row r="324" spans="20:20" x14ac:dyDescent="0.35">
      <c r="T324" s="2" t="s">
        <v>141</v>
      </c>
    </row>
    <row r="325" spans="20:20" x14ac:dyDescent="0.35">
      <c r="T325" s="2" t="s">
        <v>141</v>
      </c>
    </row>
    <row r="326" spans="20:20" x14ac:dyDescent="0.35">
      <c r="T326" s="2" t="s">
        <v>141</v>
      </c>
    </row>
    <row r="327" spans="20:20" x14ac:dyDescent="0.35">
      <c r="T327" s="2" t="s">
        <v>141</v>
      </c>
    </row>
    <row r="328" spans="20:20" x14ac:dyDescent="0.35">
      <c r="T328" s="2" t="s">
        <v>141</v>
      </c>
    </row>
    <row r="329" spans="20:20" x14ac:dyDescent="0.35">
      <c r="T329" s="2" t="s">
        <v>141</v>
      </c>
    </row>
    <row r="330" spans="20:20" x14ac:dyDescent="0.35">
      <c r="T330" s="2" t="s">
        <v>141</v>
      </c>
    </row>
    <row r="331" spans="20:20" x14ac:dyDescent="0.35">
      <c r="T331" s="2" t="s">
        <v>141</v>
      </c>
    </row>
    <row r="332" spans="20:20" x14ac:dyDescent="0.35">
      <c r="T332" s="2" t="s">
        <v>141</v>
      </c>
    </row>
    <row r="333" spans="20:20" x14ac:dyDescent="0.35">
      <c r="T333" s="2" t="s">
        <v>141</v>
      </c>
    </row>
    <row r="334" spans="20:20" x14ac:dyDescent="0.35">
      <c r="T334" s="2" t="s">
        <v>141</v>
      </c>
    </row>
    <row r="335" spans="20:20" x14ac:dyDescent="0.35">
      <c r="T335" s="2" t="s">
        <v>141</v>
      </c>
    </row>
    <row r="336" spans="20:20" x14ac:dyDescent="0.35">
      <c r="T336" s="2" t="s">
        <v>141</v>
      </c>
    </row>
    <row r="337" spans="20:20" x14ac:dyDescent="0.35">
      <c r="T337" s="2" t="s">
        <v>141</v>
      </c>
    </row>
    <row r="338" spans="20:20" x14ac:dyDescent="0.35">
      <c r="T338" s="2" t="s">
        <v>141</v>
      </c>
    </row>
    <row r="339" spans="20:20" x14ac:dyDescent="0.35">
      <c r="T339" s="2" t="s">
        <v>141</v>
      </c>
    </row>
    <row r="340" spans="20:20" x14ac:dyDescent="0.35">
      <c r="T340" s="2" t="s">
        <v>141</v>
      </c>
    </row>
    <row r="341" spans="20:20" x14ac:dyDescent="0.35">
      <c r="T341" s="2" t="s">
        <v>141</v>
      </c>
    </row>
    <row r="342" spans="20:20" x14ac:dyDescent="0.35">
      <c r="T342" s="2" t="s">
        <v>141</v>
      </c>
    </row>
    <row r="343" spans="20:20" x14ac:dyDescent="0.35">
      <c r="T343" s="2" t="s">
        <v>141</v>
      </c>
    </row>
    <row r="344" spans="20:20" x14ac:dyDescent="0.35">
      <c r="T344" s="2" t="s">
        <v>141</v>
      </c>
    </row>
    <row r="345" spans="20:20" x14ac:dyDescent="0.35">
      <c r="T345" s="2" t="s">
        <v>141</v>
      </c>
    </row>
    <row r="346" spans="20:20" x14ac:dyDescent="0.35">
      <c r="T346" s="2" t="s">
        <v>141</v>
      </c>
    </row>
    <row r="347" spans="20:20" x14ac:dyDescent="0.35">
      <c r="T347" s="2" t="s">
        <v>141</v>
      </c>
    </row>
    <row r="348" spans="20:20" x14ac:dyDescent="0.35">
      <c r="T348" s="2" t="s">
        <v>141</v>
      </c>
    </row>
    <row r="349" spans="20:20" x14ac:dyDescent="0.35">
      <c r="T349" s="2" t="s">
        <v>141</v>
      </c>
    </row>
    <row r="350" spans="20:20" x14ac:dyDescent="0.35">
      <c r="T350" s="2" t="s">
        <v>141</v>
      </c>
    </row>
    <row r="351" spans="20:20" x14ac:dyDescent="0.35">
      <c r="T351" s="2" t="s">
        <v>141</v>
      </c>
    </row>
    <row r="352" spans="20:20" x14ac:dyDescent="0.35">
      <c r="T352" s="2" t="s">
        <v>141</v>
      </c>
    </row>
    <row r="353" spans="20:20" x14ac:dyDescent="0.35">
      <c r="T353" s="2" t="s">
        <v>141</v>
      </c>
    </row>
    <row r="354" spans="20:20" x14ac:dyDescent="0.35">
      <c r="T354" s="2" t="s">
        <v>141</v>
      </c>
    </row>
    <row r="355" spans="20:20" x14ac:dyDescent="0.35">
      <c r="T355" s="2" t="s">
        <v>141</v>
      </c>
    </row>
    <row r="356" spans="20:20" x14ac:dyDescent="0.35">
      <c r="T356" s="2" t="s">
        <v>141</v>
      </c>
    </row>
    <row r="357" spans="20:20" x14ac:dyDescent="0.35">
      <c r="T357" s="2" t="s">
        <v>141</v>
      </c>
    </row>
    <row r="358" spans="20:20" x14ac:dyDescent="0.35">
      <c r="T358" s="2" t="s">
        <v>141</v>
      </c>
    </row>
    <row r="359" spans="20:20" x14ac:dyDescent="0.35">
      <c r="T359" s="2" t="s">
        <v>141</v>
      </c>
    </row>
    <row r="360" spans="20:20" x14ac:dyDescent="0.35">
      <c r="T360" s="2" t="s">
        <v>141</v>
      </c>
    </row>
    <row r="361" spans="20:20" x14ac:dyDescent="0.35">
      <c r="T361" s="2" t="s">
        <v>141</v>
      </c>
    </row>
    <row r="362" spans="20:20" x14ac:dyDescent="0.35">
      <c r="T362" s="2" t="s">
        <v>141</v>
      </c>
    </row>
    <row r="363" spans="20:20" x14ac:dyDescent="0.35">
      <c r="T363" s="2" t="s">
        <v>141</v>
      </c>
    </row>
    <row r="364" spans="20:20" x14ac:dyDescent="0.35">
      <c r="T364" s="2" t="s">
        <v>141</v>
      </c>
    </row>
    <row r="365" spans="20:20" x14ac:dyDescent="0.35">
      <c r="T365" s="2" t="s">
        <v>141</v>
      </c>
    </row>
    <row r="366" spans="20:20" x14ac:dyDescent="0.35">
      <c r="T366" s="2" t="s">
        <v>141</v>
      </c>
    </row>
    <row r="367" spans="20:20" x14ac:dyDescent="0.35">
      <c r="T367" s="2" t="s">
        <v>141</v>
      </c>
    </row>
    <row r="368" spans="20:20" x14ac:dyDescent="0.35">
      <c r="T368" s="2" t="s">
        <v>141</v>
      </c>
    </row>
    <row r="369" spans="20:20" x14ac:dyDescent="0.35">
      <c r="T369" s="2" t="s">
        <v>141</v>
      </c>
    </row>
    <row r="370" spans="20:20" x14ac:dyDescent="0.35">
      <c r="T370" s="2" t="s">
        <v>141</v>
      </c>
    </row>
    <row r="371" spans="20:20" x14ac:dyDescent="0.35">
      <c r="T371" s="2" t="s">
        <v>141</v>
      </c>
    </row>
    <row r="372" spans="20:20" x14ac:dyDescent="0.35">
      <c r="T372" s="2" t="s">
        <v>141</v>
      </c>
    </row>
    <row r="373" spans="20:20" x14ac:dyDescent="0.35">
      <c r="T373" s="2" t="s">
        <v>141</v>
      </c>
    </row>
    <row r="374" spans="20:20" x14ac:dyDescent="0.35">
      <c r="T374" s="2" t="s">
        <v>141</v>
      </c>
    </row>
    <row r="375" spans="20:20" x14ac:dyDescent="0.35">
      <c r="T375" s="2" t="s">
        <v>141</v>
      </c>
    </row>
    <row r="376" spans="20:20" x14ac:dyDescent="0.35">
      <c r="T376" s="2" t="s">
        <v>141</v>
      </c>
    </row>
    <row r="377" spans="20:20" x14ac:dyDescent="0.35">
      <c r="T377" s="2" t="s">
        <v>141</v>
      </c>
    </row>
    <row r="378" spans="20:20" x14ac:dyDescent="0.35">
      <c r="T378" s="2" t="s">
        <v>141</v>
      </c>
    </row>
    <row r="379" spans="20:20" x14ac:dyDescent="0.35">
      <c r="T379" s="2" t="s">
        <v>141</v>
      </c>
    </row>
    <row r="380" spans="20:20" x14ac:dyDescent="0.35">
      <c r="T380" s="2" t="s">
        <v>141</v>
      </c>
    </row>
    <row r="381" spans="20:20" x14ac:dyDescent="0.35">
      <c r="T381" s="2" t="s">
        <v>141</v>
      </c>
    </row>
    <row r="382" spans="20:20" x14ac:dyDescent="0.35">
      <c r="T382" s="2" t="s">
        <v>141</v>
      </c>
    </row>
    <row r="383" spans="20:20" x14ac:dyDescent="0.35">
      <c r="T383" s="2" t="s">
        <v>141</v>
      </c>
    </row>
    <row r="384" spans="20:20" x14ac:dyDescent="0.35">
      <c r="T384" s="2" t="s">
        <v>141</v>
      </c>
    </row>
    <row r="385" spans="20:20" x14ac:dyDescent="0.35">
      <c r="T385" s="2" t="s">
        <v>141</v>
      </c>
    </row>
    <row r="386" spans="20:20" x14ac:dyDescent="0.35">
      <c r="T386" s="2" t="s">
        <v>141</v>
      </c>
    </row>
    <row r="387" spans="20:20" x14ac:dyDescent="0.35">
      <c r="T387" s="2" t="s">
        <v>141</v>
      </c>
    </row>
    <row r="388" spans="20:20" x14ac:dyDescent="0.35">
      <c r="T388" s="2" t="s">
        <v>141</v>
      </c>
    </row>
    <row r="389" spans="20:20" x14ac:dyDescent="0.35">
      <c r="T389" s="2" t="s">
        <v>141</v>
      </c>
    </row>
    <row r="390" spans="20:20" x14ac:dyDescent="0.35">
      <c r="T390" s="2" t="s">
        <v>141</v>
      </c>
    </row>
    <row r="391" spans="20:20" x14ac:dyDescent="0.35">
      <c r="T391" s="2" t="s">
        <v>141</v>
      </c>
    </row>
    <row r="392" spans="20:20" x14ac:dyDescent="0.35">
      <c r="T392" s="2" t="s">
        <v>141</v>
      </c>
    </row>
    <row r="393" spans="20:20" x14ac:dyDescent="0.35">
      <c r="T393" s="2" t="s">
        <v>141</v>
      </c>
    </row>
    <row r="394" spans="20:20" x14ac:dyDescent="0.35">
      <c r="T394" s="2" t="s">
        <v>141</v>
      </c>
    </row>
    <row r="395" spans="20:20" x14ac:dyDescent="0.35">
      <c r="T395" s="2" t="s">
        <v>141</v>
      </c>
    </row>
    <row r="396" spans="20:20" x14ac:dyDescent="0.35">
      <c r="T396" s="2" t="s">
        <v>141</v>
      </c>
    </row>
    <row r="397" spans="20:20" x14ac:dyDescent="0.35">
      <c r="T397" s="2" t="s">
        <v>141</v>
      </c>
    </row>
    <row r="398" spans="20:20" x14ac:dyDescent="0.35">
      <c r="T398" s="2" t="s">
        <v>141</v>
      </c>
    </row>
    <row r="399" spans="20:20" x14ac:dyDescent="0.35">
      <c r="T399" s="2" t="s">
        <v>141</v>
      </c>
    </row>
    <row r="400" spans="20:20" x14ac:dyDescent="0.35">
      <c r="T400" s="2" t="s">
        <v>141</v>
      </c>
    </row>
    <row r="401" spans="20:20" x14ac:dyDescent="0.35">
      <c r="T401" s="2" t="s">
        <v>141</v>
      </c>
    </row>
    <row r="402" spans="20:20" x14ac:dyDescent="0.35">
      <c r="T402" s="2" t="s">
        <v>141</v>
      </c>
    </row>
    <row r="403" spans="20:20" x14ac:dyDescent="0.35">
      <c r="T403" s="2" t="s">
        <v>141</v>
      </c>
    </row>
    <row r="404" spans="20:20" x14ac:dyDescent="0.35">
      <c r="T404" s="2" t="s">
        <v>141</v>
      </c>
    </row>
    <row r="405" spans="20:20" x14ac:dyDescent="0.35">
      <c r="T405" s="2" t="s">
        <v>141</v>
      </c>
    </row>
    <row r="406" spans="20:20" x14ac:dyDescent="0.35">
      <c r="T406" s="2" t="s">
        <v>141</v>
      </c>
    </row>
    <row r="407" spans="20:20" x14ac:dyDescent="0.35">
      <c r="T407" s="2" t="s">
        <v>141</v>
      </c>
    </row>
    <row r="408" spans="20:20" x14ac:dyDescent="0.35">
      <c r="T408" s="2" t="s">
        <v>141</v>
      </c>
    </row>
    <row r="409" spans="20:20" x14ac:dyDescent="0.35">
      <c r="T409" s="2" t="s">
        <v>141</v>
      </c>
    </row>
    <row r="410" spans="20:20" x14ac:dyDescent="0.35">
      <c r="T410" s="2" t="s">
        <v>141</v>
      </c>
    </row>
    <row r="411" spans="20:20" x14ac:dyDescent="0.35">
      <c r="T411" s="2" t="s">
        <v>141</v>
      </c>
    </row>
    <row r="412" spans="20:20" x14ac:dyDescent="0.35">
      <c r="T412" s="2" t="s">
        <v>141</v>
      </c>
    </row>
    <row r="413" spans="20:20" x14ac:dyDescent="0.35">
      <c r="T413" s="2" t="s">
        <v>141</v>
      </c>
    </row>
    <row r="414" spans="20:20" x14ac:dyDescent="0.35">
      <c r="T414" s="2" t="s">
        <v>141</v>
      </c>
    </row>
    <row r="415" spans="20:20" x14ac:dyDescent="0.35">
      <c r="T415" s="2" t="s">
        <v>141</v>
      </c>
    </row>
    <row r="416" spans="20:20" x14ac:dyDescent="0.35">
      <c r="T416" s="2" t="s">
        <v>141</v>
      </c>
    </row>
    <row r="417" spans="20:20" x14ac:dyDescent="0.35">
      <c r="T417" s="2" t="s">
        <v>141</v>
      </c>
    </row>
    <row r="418" spans="20:20" x14ac:dyDescent="0.35">
      <c r="T418" s="2" t="s">
        <v>141</v>
      </c>
    </row>
    <row r="419" spans="20:20" x14ac:dyDescent="0.35">
      <c r="T419" s="2" t="s">
        <v>141</v>
      </c>
    </row>
    <row r="420" spans="20:20" x14ac:dyDescent="0.35">
      <c r="T420" s="2" t="s">
        <v>141</v>
      </c>
    </row>
    <row r="421" spans="20:20" x14ac:dyDescent="0.35">
      <c r="T421" s="2" t="s">
        <v>141</v>
      </c>
    </row>
    <row r="422" spans="20:20" x14ac:dyDescent="0.35">
      <c r="T422" s="2" t="s">
        <v>141</v>
      </c>
    </row>
    <row r="423" spans="20:20" x14ac:dyDescent="0.35">
      <c r="T423" s="2" t="s">
        <v>141</v>
      </c>
    </row>
    <row r="424" spans="20:20" x14ac:dyDescent="0.35">
      <c r="T424" s="2" t="s">
        <v>141</v>
      </c>
    </row>
    <row r="425" spans="20:20" x14ac:dyDescent="0.35">
      <c r="T425" s="2" t="s">
        <v>141</v>
      </c>
    </row>
    <row r="426" spans="20:20" x14ac:dyDescent="0.35">
      <c r="T426" s="2" t="s">
        <v>141</v>
      </c>
    </row>
    <row r="427" spans="20:20" x14ac:dyDescent="0.35">
      <c r="T427" s="2" t="s">
        <v>141</v>
      </c>
    </row>
    <row r="428" spans="20:20" x14ac:dyDescent="0.35">
      <c r="T428" s="2" t="s">
        <v>141</v>
      </c>
    </row>
    <row r="429" spans="20:20" x14ac:dyDescent="0.35">
      <c r="T429" s="2" t="s">
        <v>141</v>
      </c>
    </row>
    <row r="430" spans="20:20" x14ac:dyDescent="0.35">
      <c r="T430" s="2" t="s">
        <v>141</v>
      </c>
    </row>
    <row r="431" spans="20:20" x14ac:dyDescent="0.35">
      <c r="T431" s="2" t="s">
        <v>141</v>
      </c>
    </row>
    <row r="432" spans="20:20" x14ac:dyDescent="0.35">
      <c r="T432" s="2" t="s">
        <v>141</v>
      </c>
    </row>
    <row r="433" spans="20:20" x14ac:dyDescent="0.35">
      <c r="T433" s="2" t="s">
        <v>141</v>
      </c>
    </row>
    <row r="434" spans="20:20" x14ac:dyDescent="0.35">
      <c r="T434" s="2" t="s">
        <v>141</v>
      </c>
    </row>
    <row r="435" spans="20:20" x14ac:dyDescent="0.35">
      <c r="T435" s="2" t="s">
        <v>141</v>
      </c>
    </row>
    <row r="436" spans="20:20" x14ac:dyDescent="0.35">
      <c r="T436" s="2" t="s">
        <v>141</v>
      </c>
    </row>
    <row r="437" spans="20:20" x14ac:dyDescent="0.35">
      <c r="T437" s="2" t="s">
        <v>141</v>
      </c>
    </row>
    <row r="438" spans="20:20" x14ac:dyDescent="0.35">
      <c r="T438" s="2" t="s">
        <v>141</v>
      </c>
    </row>
    <row r="439" spans="20:20" x14ac:dyDescent="0.35">
      <c r="T439" s="2" t="s">
        <v>141</v>
      </c>
    </row>
    <row r="440" spans="20:20" x14ac:dyDescent="0.35">
      <c r="T440" s="2" t="s">
        <v>141</v>
      </c>
    </row>
    <row r="441" spans="20:20" x14ac:dyDescent="0.35">
      <c r="T441" s="2" t="s">
        <v>141</v>
      </c>
    </row>
    <row r="442" spans="20:20" x14ac:dyDescent="0.35">
      <c r="T442" s="2" t="s">
        <v>141</v>
      </c>
    </row>
    <row r="443" spans="20:20" x14ac:dyDescent="0.35">
      <c r="T443" s="2" t="s">
        <v>141</v>
      </c>
    </row>
    <row r="444" spans="20:20" x14ac:dyDescent="0.35">
      <c r="T444" s="2" t="s">
        <v>141</v>
      </c>
    </row>
    <row r="445" spans="20:20" x14ac:dyDescent="0.35">
      <c r="T445" s="2" t="s">
        <v>141</v>
      </c>
    </row>
    <row r="446" spans="20:20" x14ac:dyDescent="0.35">
      <c r="T446" s="2" t="s">
        <v>141</v>
      </c>
    </row>
    <row r="447" spans="20:20" x14ac:dyDescent="0.35">
      <c r="T447" s="2" t="s">
        <v>141</v>
      </c>
    </row>
    <row r="448" spans="20:20" x14ac:dyDescent="0.35">
      <c r="T448" s="2" t="s">
        <v>141</v>
      </c>
    </row>
    <row r="449" spans="20:20" x14ac:dyDescent="0.35">
      <c r="T449" s="2" t="s">
        <v>141</v>
      </c>
    </row>
    <row r="450" spans="20:20" x14ac:dyDescent="0.35">
      <c r="T450" s="2" t="s">
        <v>141</v>
      </c>
    </row>
    <row r="451" spans="20:20" x14ac:dyDescent="0.35">
      <c r="T451" s="2" t="s">
        <v>141</v>
      </c>
    </row>
    <row r="452" spans="20:20" x14ac:dyDescent="0.35">
      <c r="T452" s="2" t="s">
        <v>141</v>
      </c>
    </row>
    <row r="453" spans="20:20" x14ac:dyDescent="0.35">
      <c r="T453" s="2" t="s">
        <v>141</v>
      </c>
    </row>
    <row r="454" spans="20:20" x14ac:dyDescent="0.35">
      <c r="T454" s="2" t="s">
        <v>141</v>
      </c>
    </row>
    <row r="455" spans="20:20" x14ac:dyDescent="0.35">
      <c r="T455" s="2" t="s">
        <v>141</v>
      </c>
    </row>
    <row r="456" spans="20:20" x14ac:dyDescent="0.35">
      <c r="T456" s="2" t="s">
        <v>141</v>
      </c>
    </row>
    <row r="457" spans="20:20" x14ac:dyDescent="0.35">
      <c r="T457" s="2" t="s">
        <v>141</v>
      </c>
    </row>
    <row r="458" spans="20:20" x14ac:dyDescent="0.35">
      <c r="T458" s="2" t="s">
        <v>141</v>
      </c>
    </row>
    <row r="459" spans="20:20" x14ac:dyDescent="0.35">
      <c r="T459" s="2" t="s">
        <v>141</v>
      </c>
    </row>
    <row r="460" spans="20:20" x14ac:dyDescent="0.35">
      <c r="T460" s="2" t="s">
        <v>141</v>
      </c>
    </row>
    <row r="461" spans="20:20" x14ac:dyDescent="0.35">
      <c r="T461" s="2" t="s">
        <v>141</v>
      </c>
    </row>
    <row r="462" spans="20:20" x14ac:dyDescent="0.35">
      <c r="T462" s="2" t="s">
        <v>141</v>
      </c>
    </row>
    <row r="463" spans="20:20" x14ac:dyDescent="0.35">
      <c r="T463" s="2" t="s">
        <v>141</v>
      </c>
    </row>
    <row r="464" spans="20:20" x14ac:dyDescent="0.35">
      <c r="T464" s="2" t="s">
        <v>141</v>
      </c>
    </row>
    <row r="465" spans="20:20" x14ac:dyDescent="0.35">
      <c r="T465" s="2" t="s">
        <v>141</v>
      </c>
    </row>
    <row r="466" spans="20:20" x14ac:dyDescent="0.35">
      <c r="T466" s="2" t="s">
        <v>141</v>
      </c>
    </row>
    <row r="467" spans="20:20" x14ac:dyDescent="0.35">
      <c r="T467" s="2" t="s">
        <v>141</v>
      </c>
    </row>
    <row r="468" spans="20:20" x14ac:dyDescent="0.35">
      <c r="T468" s="2" t="s">
        <v>141</v>
      </c>
    </row>
    <row r="469" spans="20:20" x14ac:dyDescent="0.35">
      <c r="T469" s="2" t="s">
        <v>141</v>
      </c>
    </row>
    <row r="470" spans="20:20" x14ac:dyDescent="0.35">
      <c r="T470" s="2" t="s">
        <v>141</v>
      </c>
    </row>
    <row r="471" spans="20:20" x14ac:dyDescent="0.35">
      <c r="T471" s="2" t="s">
        <v>141</v>
      </c>
    </row>
    <row r="472" spans="20:20" x14ac:dyDescent="0.35">
      <c r="T472" s="2" t="s">
        <v>141</v>
      </c>
    </row>
    <row r="473" spans="20:20" x14ac:dyDescent="0.35">
      <c r="T473" s="2" t="s">
        <v>141</v>
      </c>
    </row>
    <row r="474" spans="20:20" x14ac:dyDescent="0.35">
      <c r="T474" s="2" t="s">
        <v>141</v>
      </c>
    </row>
    <row r="475" spans="20:20" x14ac:dyDescent="0.35">
      <c r="T475" s="2" t="s">
        <v>141</v>
      </c>
    </row>
    <row r="476" spans="20:20" x14ac:dyDescent="0.35">
      <c r="T476" s="2" t="s">
        <v>141</v>
      </c>
    </row>
    <row r="477" spans="20:20" x14ac:dyDescent="0.35">
      <c r="T477" s="2" t="s">
        <v>141</v>
      </c>
    </row>
    <row r="478" spans="20:20" x14ac:dyDescent="0.35">
      <c r="T478" s="2" t="s">
        <v>141</v>
      </c>
    </row>
    <row r="479" spans="20:20" x14ac:dyDescent="0.35">
      <c r="T479" s="2" t="s">
        <v>141</v>
      </c>
    </row>
    <row r="480" spans="20:20" x14ac:dyDescent="0.35">
      <c r="T480" s="2" t="s">
        <v>141</v>
      </c>
    </row>
    <row r="481" spans="20:20" x14ac:dyDescent="0.35">
      <c r="T481" s="2" t="s">
        <v>141</v>
      </c>
    </row>
    <row r="482" spans="20:20" x14ac:dyDescent="0.35">
      <c r="T482" s="2" t="s">
        <v>141</v>
      </c>
    </row>
    <row r="483" spans="20:20" x14ac:dyDescent="0.35">
      <c r="T483" s="2" t="s">
        <v>141</v>
      </c>
    </row>
    <row r="484" spans="20:20" x14ac:dyDescent="0.35">
      <c r="T484" s="2" t="s">
        <v>141</v>
      </c>
    </row>
    <row r="485" spans="20:20" x14ac:dyDescent="0.35">
      <c r="T485" s="2" t="s">
        <v>141</v>
      </c>
    </row>
    <row r="486" spans="20:20" x14ac:dyDescent="0.35">
      <c r="T486" s="2" t="s">
        <v>141</v>
      </c>
    </row>
    <row r="487" spans="20:20" x14ac:dyDescent="0.35">
      <c r="T487" s="2" t="s">
        <v>141</v>
      </c>
    </row>
    <row r="488" spans="20:20" x14ac:dyDescent="0.35">
      <c r="T488" s="2" t="s">
        <v>141</v>
      </c>
    </row>
    <row r="489" spans="20:20" x14ac:dyDescent="0.35">
      <c r="T489" s="2" t="s">
        <v>141</v>
      </c>
    </row>
    <row r="490" spans="20:20" x14ac:dyDescent="0.35">
      <c r="T490" s="2" t="s">
        <v>141</v>
      </c>
    </row>
    <row r="491" spans="20:20" x14ac:dyDescent="0.35">
      <c r="T491" s="2" t="s">
        <v>141</v>
      </c>
    </row>
    <row r="492" spans="20:20" x14ac:dyDescent="0.35">
      <c r="T492" s="2" t="s">
        <v>141</v>
      </c>
    </row>
    <row r="493" spans="20:20" x14ac:dyDescent="0.35">
      <c r="T493" s="2" t="s">
        <v>141</v>
      </c>
    </row>
    <row r="494" spans="20:20" x14ac:dyDescent="0.35">
      <c r="T494" s="2" t="s">
        <v>141</v>
      </c>
    </row>
    <row r="495" spans="20:20" x14ac:dyDescent="0.35">
      <c r="T495" s="2" t="s">
        <v>141</v>
      </c>
    </row>
    <row r="496" spans="20:20" x14ac:dyDescent="0.35">
      <c r="T496" s="2" t="s">
        <v>141</v>
      </c>
    </row>
    <row r="497" spans="20:20" x14ac:dyDescent="0.35">
      <c r="T497" s="2" t="s">
        <v>141</v>
      </c>
    </row>
    <row r="498" spans="20:20" x14ac:dyDescent="0.35">
      <c r="T498" s="2" t="s">
        <v>141</v>
      </c>
    </row>
    <row r="499" spans="20:20" x14ac:dyDescent="0.35">
      <c r="T499" s="2" t="s">
        <v>141</v>
      </c>
    </row>
    <row r="500" spans="20:20" x14ac:dyDescent="0.35">
      <c r="T500" s="2" t="s">
        <v>141</v>
      </c>
    </row>
    <row r="501" spans="20:20" x14ac:dyDescent="0.35">
      <c r="T501" s="2" t="s">
        <v>141</v>
      </c>
    </row>
    <row r="502" spans="20:20" x14ac:dyDescent="0.35">
      <c r="T502" s="2" t="s">
        <v>141</v>
      </c>
    </row>
    <row r="503" spans="20:20" x14ac:dyDescent="0.35">
      <c r="T503" s="2" t="s">
        <v>141</v>
      </c>
    </row>
    <row r="504" spans="20:20" x14ac:dyDescent="0.35">
      <c r="T504" s="2" t="s">
        <v>141</v>
      </c>
    </row>
    <row r="505" spans="20:20" x14ac:dyDescent="0.35">
      <c r="T505" s="2" t="s">
        <v>141</v>
      </c>
    </row>
    <row r="506" spans="20:20" x14ac:dyDescent="0.35">
      <c r="T506" s="2" t="s">
        <v>141</v>
      </c>
    </row>
    <row r="507" spans="20:20" x14ac:dyDescent="0.35">
      <c r="T507" s="2" t="s">
        <v>141</v>
      </c>
    </row>
    <row r="508" spans="20:20" x14ac:dyDescent="0.35">
      <c r="T508" s="2" t="s">
        <v>141</v>
      </c>
    </row>
    <row r="509" spans="20:20" x14ac:dyDescent="0.35">
      <c r="T509" s="2" t="s">
        <v>141</v>
      </c>
    </row>
    <row r="510" spans="20:20" x14ac:dyDescent="0.35">
      <c r="T510" s="2" t="s">
        <v>141</v>
      </c>
    </row>
    <row r="511" spans="20:20" x14ac:dyDescent="0.35">
      <c r="T511" s="2" t="s">
        <v>141</v>
      </c>
    </row>
    <row r="512" spans="20:20" x14ac:dyDescent="0.35">
      <c r="T512" s="2" t="s">
        <v>141</v>
      </c>
    </row>
    <row r="513" spans="20:20" x14ac:dyDescent="0.35">
      <c r="T513" s="2" t="s">
        <v>141</v>
      </c>
    </row>
    <row r="514" spans="20:20" x14ac:dyDescent="0.35">
      <c r="T514" s="2" t="s">
        <v>141</v>
      </c>
    </row>
    <row r="515" spans="20:20" x14ac:dyDescent="0.35">
      <c r="T515" s="2" t="s">
        <v>141</v>
      </c>
    </row>
  </sheetData>
  <pageMargins left="0.7" right="0.7" top="0.75" bottom="0.75" header="0.3" footer="0.3"/>
  <pageSetup paperSize="9" orientation="portrait" r:id="rId1"/>
  <ignoredErrors>
    <ignoredError sqref="K27:K258 K2:K25" evalError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23</xdr:col>
                <xdr:colOff>31750</xdr:colOff>
                <xdr:row>0</xdr:row>
                <xdr:rowOff>0</xdr:rowOff>
              </from>
              <to>
                <xdr:col>24</xdr:col>
                <xdr:colOff>596900</xdr:colOff>
                <xdr:row>2</xdr:row>
                <xdr:rowOff>6350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6"/>
  <sheetViews>
    <sheetView workbookViewId="0">
      <selection activeCell="A14" sqref="A14"/>
    </sheetView>
  </sheetViews>
  <sheetFormatPr defaultRowHeight="14.5" x14ac:dyDescent="0.35"/>
  <sheetData>
    <row r="1" spans="1:4" x14ac:dyDescent="0.35">
      <c r="A1" s="1" t="s">
        <v>34</v>
      </c>
      <c r="B1" s="8"/>
      <c r="C1" s="8" t="s">
        <v>8</v>
      </c>
      <c r="D1" s="8" t="s">
        <v>148</v>
      </c>
    </row>
    <row r="2" spans="1:4" x14ac:dyDescent="0.35">
      <c r="A2" s="1" t="s">
        <v>34</v>
      </c>
      <c r="B2" s="8"/>
      <c r="C2" s="8" t="s">
        <v>9</v>
      </c>
      <c r="D2" s="8" t="s">
        <v>148</v>
      </c>
    </row>
    <row r="3" spans="1:4" x14ac:dyDescent="0.35">
      <c r="A3" s="15" t="s">
        <v>34</v>
      </c>
      <c r="B3" s="16"/>
      <c r="C3" s="16" t="s">
        <v>11</v>
      </c>
      <c r="D3" s="16" t="s">
        <v>147</v>
      </c>
    </row>
    <row r="4" spans="1:4" x14ac:dyDescent="0.35">
      <c r="A4" s="15" t="s">
        <v>6</v>
      </c>
      <c r="B4" s="16" t="s">
        <v>10</v>
      </c>
      <c r="C4" s="16" t="s">
        <v>10</v>
      </c>
      <c r="D4" s="16"/>
    </row>
    <row r="5" spans="1:4" x14ac:dyDescent="0.35">
      <c r="A5" s="15" t="s">
        <v>68</v>
      </c>
      <c r="B5" s="16"/>
      <c r="C5" s="16"/>
      <c r="D5" s="16"/>
    </row>
    <row r="6" spans="1:4" x14ac:dyDescent="0.35">
      <c r="A6" s="15" t="s">
        <v>2</v>
      </c>
      <c r="B6" s="16" t="s">
        <v>8</v>
      </c>
      <c r="C6" s="16" t="s">
        <v>8</v>
      </c>
      <c r="D6" s="16"/>
    </row>
    <row r="7" spans="1:4" x14ac:dyDescent="0.35">
      <c r="A7" s="15" t="s">
        <v>47</v>
      </c>
      <c r="B7" s="16"/>
      <c r="C7" s="16"/>
      <c r="D7" s="16" t="s">
        <v>149</v>
      </c>
    </row>
    <row r="8" spans="1:4" x14ac:dyDescent="0.35">
      <c r="A8" s="15" t="s">
        <v>38</v>
      </c>
      <c r="B8" s="16"/>
      <c r="C8" s="16"/>
      <c r="D8" s="16" t="s">
        <v>150</v>
      </c>
    </row>
    <row r="9" spans="1:4" x14ac:dyDescent="0.35">
      <c r="A9" s="15" t="s">
        <v>68</v>
      </c>
      <c r="B9" s="16"/>
      <c r="C9" s="16"/>
      <c r="D9" s="16"/>
    </row>
    <row r="10" spans="1:4" x14ac:dyDescent="0.35">
      <c r="A10" s="15" t="s">
        <v>0</v>
      </c>
      <c r="B10" s="16" t="s">
        <v>9</v>
      </c>
      <c r="C10" s="16" t="s">
        <v>10</v>
      </c>
      <c r="D10" s="16"/>
    </row>
    <row r="11" spans="1:4" x14ac:dyDescent="0.35">
      <c r="A11" s="15" t="s">
        <v>68</v>
      </c>
      <c r="B11" s="16"/>
      <c r="C11" s="16"/>
      <c r="D11" s="16"/>
    </row>
    <row r="12" spans="1:4" x14ac:dyDescent="0.35">
      <c r="A12" s="15" t="s">
        <v>1</v>
      </c>
      <c r="B12" s="16" t="s">
        <v>9</v>
      </c>
      <c r="C12" s="16" t="s">
        <v>9</v>
      </c>
      <c r="D12" s="16"/>
    </row>
    <row r="13" spans="1:4" x14ac:dyDescent="0.35">
      <c r="A13" s="15" t="s">
        <v>1</v>
      </c>
      <c r="B13" s="16" t="s">
        <v>11</v>
      </c>
      <c r="C13" s="16" t="s">
        <v>11</v>
      </c>
      <c r="D13" s="16"/>
    </row>
    <row r="14" spans="1:4" x14ac:dyDescent="0.35">
      <c r="A14" s="15" t="s">
        <v>47</v>
      </c>
      <c r="B14" s="16"/>
      <c r="C14" s="16"/>
      <c r="D14" s="16" t="s">
        <v>151</v>
      </c>
    </row>
    <row r="15" spans="1:4" x14ac:dyDescent="0.35">
      <c r="A15" s="15" t="s">
        <v>38</v>
      </c>
      <c r="B15" s="16"/>
      <c r="C15" s="16"/>
      <c r="D15" s="16"/>
    </row>
    <row r="16" spans="1:4" x14ac:dyDescent="0.35">
      <c r="A16" s="15" t="s">
        <v>145</v>
      </c>
      <c r="B16" s="16"/>
      <c r="C16" s="16"/>
      <c r="D1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9"/>
  <sheetViews>
    <sheetView zoomScale="75" zoomScaleNormal="75" workbookViewId="0">
      <selection activeCell="J22" sqref="J22"/>
    </sheetView>
  </sheetViews>
  <sheetFormatPr defaultRowHeight="14.5" x14ac:dyDescent="0.35"/>
  <cols>
    <col min="1" max="1" width="27.7265625" bestFit="1" customWidth="1"/>
    <col min="2" max="2" width="12.7265625" bestFit="1" customWidth="1"/>
    <col min="3" max="3" width="58.26953125" bestFit="1" customWidth="1"/>
    <col min="4" max="4" width="18.26953125" bestFit="1" customWidth="1"/>
  </cols>
  <sheetData>
    <row r="1" spans="1:4" ht="18.5" x14ac:dyDescent="0.45">
      <c r="A1" s="36" t="s">
        <v>12</v>
      </c>
      <c r="B1" s="36" t="s">
        <v>13</v>
      </c>
      <c r="C1" s="36" t="s">
        <v>19</v>
      </c>
      <c r="D1" s="36" t="s">
        <v>70</v>
      </c>
    </row>
    <row r="2" spans="1:4" ht="18.5" x14ac:dyDescent="0.45">
      <c r="A2" s="37" t="s">
        <v>0</v>
      </c>
      <c r="B2" s="37">
        <v>1000</v>
      </c>
      <c r="C2" s="37" t="s">
        <v>22</v>
      </c>
      <c r="D2" s="37" t="s">
        <v>165</v>
      </c>
    </row>
    <row r="3" spans="1:4" ht="18.5" x14ac:dyDescent="0.45">
      <c r="A3" s="37" t="s">
        <v>2</v>
      </c>
      <c r="B3" s="37">
        <v>1001</v>
      </c>
      <c r="C3" s="37" t="s">
        <v>26</v>
      </c>
      <c r="D3" s="37" t="s">
        <v>166</v>
      </c>
    </row>
    <row r="4" spans="1:4" ht="18.5" x14ac:dyDescent="0.45">
      <c r="A4" s="37" t="s">
        <v>1</v>
      </c>
      <c r="B4" s="37">
        <v>1010</v>
      </c>
      <c r="C4" s="37" t="s">
        <v>25</v>
      </c>
      <c r="D4" s="37" t="s">
        <v>167</v>
      </c>
    </row>
    <row r="5" spans="1:4" ht="18.5" x14ac:dyDescent="0.45">
      <c r="A5" s="37" t="s">
        <v>3</v>
      </c>
      <c r="B5" s="37">
        <v>1011</v>
      </c>
      <c r="C5" s="37" t="s">
        <v>24</v>
      </c>
      <c r="D5" s="37" t="s">
        <v>168</v>
      </c>
    </row>
    <row r="6" spans="1:4" ht="18.5" x14ac:dyDescent="0.45">
      <c r="A6" s="37" t="s">
        <v>4</v>
      </c>
      <c r="B6" s="37">
        <v>1100</v>
      </c>
      <c r="C6" s="37" t="s">
        <v>23</v>
      </c>
      <c r="D6" s="37" t="s">
        <v>169</v>
      </c>
    </row>
    <row r="7" spans="1:4" ht="18.5" x14ac:dyDescent="0.45">
      <c r="A7" s="37" t="s">
        <v>5</v>
      </c>
      <c r="B7" s="37">
        <v>1101</v>
      </c>
      <c r="C7" s="37" t="s">
        <v>27</v>
      </c>
      <c r="D7" s="37" t="s">
        <v>170</v>
      </c>
    </row>
    <row r="8" spans="1:4" ht="18.5" x14ac:dyDescent="0.45">
      <c r="A8" s="37" t="s">
        <v>6</v>
      </c>
      <c r="B8" s="37">
        <v>1110</v>
      </c>
      <c r="C8" s="37" t="s">
        <v>28</v>
      </c>
      <c r="D8" s="37" t="s">
        <v>171</v>
      </c>
    </row>
    <row r="9" spans="1:4" ht="18.5" x14ac:dyDescent="0.45">
      <c r="A9" s="37" t="s">
        <v>7</v>
      </c>
      <c r="B9" s="37">
        <v>1111</v>
      </c>
      <c r="C9" s="37" t="s">
        <v>29</v>
      </c>
      <c r="D9" s="37" t="s">
        <v>172</v>
      </c>
    </row>
    <row r="10" spans="1:4" ht="18.5" x14ac:dyDescent="0.45">
      <c r="A10" s="37" t="s">
        <v>14</v>
      </c>
      <c r="B10" s="37" t="s">
        <v>15</v>
      </c>
      <c r="C10" s="37" t="s">
        <v>18</v>
      </c>
      <c r="D10" s="37" t="s">
        <v>173</v>
      </c>
    </row>
    <row r="11" spans="1:4" ht="18.5" x14ac:dyDescent="0.45">
      <c r="A11" s="37" t="s">
        <v>17</v>
      </c>
      <c r="B11" s="37" t="s">
        <v>16</v>
      </c>
      <c r="C11" s="37" t="s">
        <v>20</v>
      </c>
      <c r="D11" s="37" t="s">
        <v>174</v>
      </c>
    </row>
    <row r="12" spans="1:4" ht="18.5" x14ac:dyDescent="0.45">
      <c r="A12" s="37" t="s">
        <v>34</v>
      </c>
      <c r="B12" s="38" t="s">
        <v>112</v>
      </c>
      <c r="C12" s="37" t="s">
        <v>35</v>
      </c>
      <c r="D12" s="37" t="s">
        <v>175</v>
      </c>
    </row>
    <row r="13" spans="1:4" ht="18.5" x14ac:dyDescent="0.45">
      <c r="A13" s="37" t="s">
        <v>36</v>
      </c>
      <c r="B13" s="37">
        <v>1100</v>
      </c>
      <c r="C13" s="37" t="s">
        <v>37</v>
      </c>
      <c r="D13" s="37" t="s">
        <v>80</v>
      </c>
    </row>
    <row r="14" spans="1:4" ht="18.5" x14ac:dyDescent="0.45">
      <c r="A14" s="37" t="s">
        <v>38</v>
      </c>
      <c r="B14" s="38" t="s">
        <v>156</v>
      </c>
      <c r="C14" s="37" t="s">
        <v>39</v>
      </c>
      <c r="D14" s="37" t="s">
        <v>82</v>
      </c>
    </row>
    <row r="15" spans="1:4" ht="18.5" x14ac:dyDescent="0.45">
      <c r="A15" s="37" t="s">
        <v>40</v>
      </c>
      <c r="B15" s="38" t="s">
        <v>138</v>
      </c>
      <c r="C15" s="37" t="s">
        <v>41</v>
      </c>
      <c r="D15" s="37" t="s">
        <v>83</v>
      </c>
    </row>
    <row r="16" spans="1:4" ht="18.5" x14ac:dyDescent="0.45">
      <c r="A16" s="37" t="s">
        <v>43</v>
      </c>
      <c r="B16" s="37" t="s">
        <v>42</v>
      </c>
      <c r="C16" s="37" t="s">
        <v>44</v>
      </c>
      <c r="D16" s="37" t="s">
        <v>84</v>
      </c>
    </row>
    <row r="17" spans="1:4" ht="18.5" x14ac:dyDescent="0.45">
      <c r="A17" s="37" t="s">
        <v>45</v>
      </c>
      <c r="B17" s="37" t="s">
        <v>46</v>
      </c>
      <c r="C17" s="37" t="s">
        <v>67</v>
      </c>
      <c r="D17" s="37" t="s">
        <v>85</v>
      </c>
    </row>
    <row r="18" spans="1:4" ht="18.5" x14ac:dyDescent="0.45">
      <c r="A18" s="37" t="s">
        <v>47</v>
      </c>
      <c r="B18" s="37" t="s">
        <v>48</v>
      </c>
      <c r="C18" s="37" t="s">
        <v>49</v>
      </c>
      <c r="D18" s="37" t="s">
        <v>86</v>
      </c>
    </row>
    <row r="19" spans="1:4" ht="18.5" x14ac:dyDescent="0.45">
      <c r="A19" s="37" t="s">
        <v>50</v>
      </c>
      <c r="B19" s="38" t="s">
        <v>127</v>
      </c>
      <c r="C19" s="37" t="s">
        <v>60</v>
      </c>
      <c r="D19" s="37" t="s">
        <v>87</v>
      </c>
    </row>
    <row r="20" spans="1:4" ht="18.5" x14ac:dyDescent="0.45">
      <c r="A20" s="37" t="s">
        <v>51</v>
      </c>
      <c r="B20" s="38" t="s">
        <v>128</v>
      </c>
      <c r="C20" s="37" t="s">
        <v>61</v>
      </c>
      <c r="D20" s="37" t="s">
        <v>88</v>
      </c>
    </row>
    <row r="21" spans="1:4" ht="18.5" x14ac:dyDescent="0.45">
      <c r="A21" s="37" t="s">
        <v>52</v>
      </c>
      <c r="B21" s="38" t="s">
        <v>129</v>
      </c>
      <c r="C21" s="37" t="s">
        <v>62</v>
      </c>
      <c r="D21" s="37" t="s">
        <v>89</v>
      </c>
    </row>
    <row r="22" spans="1:4" ht="18.5" x14ac:dyDescent="0.45">
      <c r="A22" s="37" t="s">
        <v>53</v>
      </c>
      <c r="B22" s="38" t="s">
        <v>130</v>
      </c>
      <c r="C22" s="37" t="s">
        <v>146</v>
      </c>
      <c r="D22" s="37" t="s">
        <v>90</v>
      </c>
    </row>
    <row r="23" spans="1:4" ht="18.5" x14ac:dyDescent="0.45">
      <c r="A23" s="37" t="s">
        <v>54</v>
      </c>
      <c r="B23" s="38" t="s">
        <v>131</v>
      </c>
      <c r="C23" s="37" t="s">
        <v>63</v>
      </c>
      <c r="D23" s="37" t="s">
        <v>91</v>
      </c>
    </row>
    <row r="24" spans="1:4" ht="18.5" x14ac:dyDescent="0.45">
      <c r="A24" s="37" t="s">
        <v>55</v>
      </c>
      <c r="B24" s="38" t="s">
        <v>132</v>
      </c>
      <c r="C24" s="37" t="s">
        <v>64</v>
      </c>
      <c r="D24" s="37" t="s">
        <v>92</v>
      </c>
    </row>
    <row r="25" spans="1:4" ht="18.5" x14ac:dyDescent="0.45">
      <c r="A25" s="37" t="s">
        <v>56</v>
      </c>
      <c r="B25" s="38" t="s">
        <v>133</v>
      </c>
      <c r="C25" s="37" t="s">
        <v>65</v>
      </c>
      <c r="D25" s="37" t="s">
        <v>93</v>
      </c>
    </row>
    <row r="26" spans="1:4" ht="18.5" x14ac:dyDescent="0.45">
      <c r="A26" s="37" t="s">
        <v>122</v>
      </c>
      <c r="B26" s="38" t="s">
        <v>134</v>
      </c>
      <c r="C26" s="37" t="s">
        <v>123</v>
      </c>
      <c r="D26" s="37" t="s">
        <v>124</v>
      </c>
    </row>
    <row r="27" spans="1:4" ht="18.5" x14ac:dyDescent="0.45">
      <c r="A27" s="37" t="s">
        <v>57</v>
      </c>
      <c r="B27" s="38" t="s">
        <v>135</v>
      </c>
      <c r="C27" s="37" t="s">
        <v>125</v>
      </c>
      <c r="D27" s="37" t="s">
        <v>94</v>
      </c>
    </row>
    <row r="28" spans="1:4" ht="18.5" x14ac:dyDescent="0.45">
      <c r="A28" s="37" t="s">
        <v>58</v>
      </c>
      <c r="B28" s="38" t="s">
        <v>136</v>
      </c>
      <c r="C28" s="37" t="s">
        <v>126</v>
      </c>
      <c r="D28" s="37" t="s">
        <v>95</v>
      </c>
    </row>
    <row r="29" spans="1:4" ht="18.5" x14ac:dyDescent="0.45">
      <c r="A29" s="37" t="s">
        <v>59</v>
      </c>
      <c r="B29" s="38" t="s">
        <v>137</v>
      </c>
      <c r="C29" s="37" t="s">
        <v>66</v>
      </c>
      <c r="D29" s="37" t="s">
        <v>96</v>
      </c>
    </row>
    <row r="30" spans="1:4" ht="18.5" x14ac:dyDescent="0.45">
      <c r="A30" s="37" t="s">
        <v>68</v>
      </c>
      <c r="B30" s="37" t="s">
        <v>97</v>
      </c>
      <c r="C30" s="37" t="s">
        <v>69</v>
      </c>
      <c r="D30" s="37" t="s">
        <v>68</v>
      </c>
    </row>
    <row r="31" spans="1:4" ht="18.5" x14ac:dyDescent="0.45">
      <c r="A31" s="37" t="s">
        <v>8</v>
      </c>
      <c r="B31" s="39" t="s">
        <v>98</v>
      </c>
      <c r="C31" s="37" t="s">
        <v>30</v>
      </c>
      <c r="D31" s="37" t="s">
        <v>8</v>
      </c>
    </row>
    <row r="32" spans="1:4" ht="18.5" x14ac:dyDescent="0.45">
      <c r="A32" s="37" t="s">
        <v>9</v>
      </c>
      <c r="B32" s="39" t="s">
        <v>99</v>
      </c>
      <c r="C32" s="37" t="s">
        <v>31</v>
      </c>
      <c r="D32" s="37" t="s">
        <v>9</v>
      </c>
    </row>
    <row r="33" spans="1:4" ht="18.5" x14ac:dyDescent="0.45">
      <c r="A33" s="37" t="s">
        <v>10</v>
      </c>
      <c r="B33" s="39" t="s">
        <v>115</v>
      </c>
      <c r="C33" s="37" t="s">
        <v>32</v>
      </c>
      <c r="D33" s="37" t="s">
        <v>10</v>
      </c>
    </row>
    <row r="34" spans="1:4" ht="18.5" x14ac:dyDescent="0.45">
      <c r="A34" s="37" t="s">
        <v>11</v>
      </c>
      <c r="B34" s="39" t="s">
        <v>116</v>
      </c>
      <c r="C34" s="37" t="s">
        <v>33</v>
      </c>
      <c r="D34" s="37" t="s">
        <v>11</v>
      </c>
    </row>
    <row r="35" spans="1:4" ht="18.5" x14ac:dyDescent="0.45">
      <c r="A35" s="37" t="s">
        <v>100</v>
      </c>
      <c r="B35" s="37"/>
      <c r="C35" s="37" t="s">
        <v>104</v>
      </c>
      <c r="D35" s="37" t="s">
        <v>108</v>
      </c>
    </row>
    <row r="36" spans="1:4" ht="18.5" x14ac:dyDescent="0.45">
      <c r="A36" s="37" t="s">
        <v>101</v>
      </c>
      <c r="B36" s="37"/>
      <c r="C36" s="37" t="s">
        <v>105</v>
      </c>
      <c r="D36" s="37" t="s">
        <v>109</v>
      </c>
    </row>
    <row r="37" spans="1:4" ht="18.5" x14ac:dyDescent="0.45">
      <c r="A37" s="37" t="s">
        <v>102</v>
      </c>
      <c r="B37" s="37"/>
      <c r="C37" s="37" t="s">
        <v>106</v>
      </c>
      <c r="D37" s="37" t="s">
        <v>110</v>
      </c>
    </row>
    <row r="38" spans="1:4" ht="18.5" x14ac:dyDescent="0.45">
      <c r="A38" s="37" t="s">
        <v>103</v>
      </c>
      <c r="B38" s="37"/>
      <c r="C38" s="37" t="s">
        <v>107</v>
      </c>
      <c r="D38" s="37" t="s">
        <v>111</v>
      </c>
    </row>
    <row r="39" spans="1:4" ht="18.5" x14ac:dyDescent="0.45">
      <c r="A39" s="37" t="s">
        <v>145</v>
      </c>
      <c r="B39" s="37">
        <v>11001111</v>
      </c>
      <c r="C39" s="37" t="s">
        <v>145</v>
      </c>
      <c r="D39" s="37" t="s">
        <v>145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Assembler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</dc:creator>
  <cp:lastModifiedBy>Leo van der Ploeg</cp:lastModifiedBy>
  <dcterms:created xsi:type="dcterms:W3CDTF">2017-12-17T16:49:00Z</dcterms:created>
  <dcterms:modified xsi:type="dcterms:W3CDTF">2024-01-31T22:07:25Z</dcterms:modified>
</cp:coreProperties>
</file>